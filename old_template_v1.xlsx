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quipment and Limits" sheetId="3" state="visible" r:id="rId3"/>
    <sheet xmlns:r="http://schemas.openxmlformats.org/officeDocument/2006/relationships" name="Visual Inspection" sheetId="4" state="visible" r:id="rId4"/>
    <sheet xmlns:r="http://schemas.openxmlformats.org/officeDocument/2006/relationships" name="Inverters and Panel" sheetId="5" state="visible" r:id="rId5"/>
    <sheet xmlns:r="http://schemas.openxmlformats.org/officeDocument/2006/relationships" name="DC INV 01" sheetId="6" state="visible" r:id="rId6"/>
    <sheet xmlns:r="http://schemas.openxmlformats.org/officeDocument/2006/relationships" name="DC INV 02" sheetId="7" state="visible" r:id="rId7"/>
    <sheet xmlns:r="http://schemas.openxmlformats.org/officeDocument/2006/relationships" name="AC Output" sheetId="8" state="visible" r:id="rId8"/>
    <sheet xmlns:r="http://schemas.openxmlformats.org/officeDocument/2006/relationships" name="AC Insulation and Earthing" sheetId="9" state="visible" r:id="rId9"/>
    <sheet xmlns:r="http://schemas.openxmlformats.org/officeDocument/2006/relationships" name="Thermal Imaging" sheetId="10" state="visible" r:id="rId10"/>
    <sheet xmlns:r="http://schemas.openxmlformats.org/officeDocument/2006/relationships" name="Battery" sheetId="11" state="visible" r:id="rId11"/>
    <sheet xmlns:r="http://schemas.openxmlformats.org/officeDocument/2006/relationships" name="Protection and Grid" sheetId="12" state="visible" r:id="rId12"/>
    <sheet xmlns:r="http://schemas.openxmlformats.org/officeDocument/2006/relationships" name="Punch List" sheetId="13" state="visible" r:id="rId13"/>
    <sheet xmlns:r="http://schemas.openxmlformats.org/officeDocument/2006/relationships" name="Sign-Off" sheetId="14" state="visible" r:id="rId14"/>
  </sheets>
  <definedNames>
    <definedName name="LIM_INS_DC">'Equipment and Limits'!$D$19</definedName>
    <definedName name="LIM_INS_AC">'Equipment and Limits'!$D$20</definedName>
    <definedName name="LIM_VOC_DEV">'Equipment and Limits'!$D$21</definedName>
    <definedName name="LIM_EARTH">'Equipment and Limits'!$D$22</definedName>
    <definedName name="LIM_VNOM">'Equipment and Limits'!$D$23</definedName>
    <definedName name="LIM_VTOL">'Equipment and Limits'!$D$24</definedName>
    <definedName name="LIM_FNOM">'Equipment and Limits'!$D$25</definedName>
    <definedName name="LIM_FTOL">'Equipment and Limits'!$D$26</definedName>
    <definedName name="LIM_DT">'Equipment and Limits'!$D$27</definedName>
    <definedName name="_xlnm.Print_Area" localSheetId="0">'Cover'!$A$1:$F$51</definedName>
    <definedName name="_xlnm.Print_Area" localSheetId="1">'Summary'!$A$1:$I$23</definedName>
    <definedName name="_xlnm.Print_Area" localSheetId="2">'Equipment and Limits'!$A$1:$H$27</definedName>
    <definedName name="_xlnm.Print_Area" localSheetId="3">'Visual Inspection'!$A$1:$E$45</definedName>
    <definedName name="_xlnm.Print_Area" localSheetId="4">'Inverters and Panel'!$A$1:$O$25</definedName>
    <definedName name="_xlnm.Print_Titles" localSheetId="5">'DC INV 01'!$13:$14</definedName>
    <definedName name="_xlnm.Print_Area" localSheetId="5">'DC INV 01'!$A$1:$O$55</definedName>
    <definedName name="_xlnm.Print_Titles" localSheetId="6">'DC INV 02'!$13:$14</definedName>
    <definedName name="_xlnm.Print_Area" localSheetId="6">'DC INV 02'!$A$1:$O$55</definedName>
    <definedName name="_xlnm.Print_Area" localSheetId="7">'AC Output'!$A$1:$O$27</definedName>
    <definedName name="_xlnm.Print_Area" localSheetId="8">'AC Insulation and Earthing'!$A$1:$O$35</definedName>
    <definedName name="_xlnm.Print_Area" localSheetId="9">'Thermal Imaging'!$A$1:$I$47</definedName>
    <definedName name="_xlnm.Print_Area" localSheetId="10">'Battery'!$A$1:$J$49</definedName>
    <definedName name="_xlnm.Print_Area" localSheetId="11">'Protection and Grid'!$A$1:$G$22</definedName>
    <definedName name="_xlnm.Print_Area" localSheetId="12">'Punch List'!$A$1:$L$24</definedName>
    <definedName name="_xlnm.Print_Area" localSheetId="13">'Sign-Off'!$A$1:$F$32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m-yyyy"/>
    <numFmt numFmtId="165" formatCode="0.0"/>
    <numFmt numFmtId="166" formatCode="0.0%"/>
    <numFmt numFmtId="167" formatCode="hh:mm"/>
    <numFmt numFmtId="168" formatCode="dd-mmm-yy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7"/>
    </font>
    <font>
      <name val="Arial"/>
      <i val="1"/>
      <color rgb="00404040"/>
      <sz val="9"/>
    </font>
    <font>
      <name val="Arial"/>
      <b val="1"/>
      <color rgb="00000000"/>
      <sz val="11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00"/>
      <sz val="9.5"/>
    </font>
    <font>
      <name val="Arial"/>
      <b val="1"/>
      <color rgb="00FFFFFF"/>
      <sz val="16"/>
    </font>
    <font>
      <name val="Arial"/>
      <b val="1"/>
      <color rgb="00FFFFFF"/>
      <sz val="10"/>
    </font>
    <font>
      <name val="Arial"/>
      <b val="1"/>
      <color rgb="00FFFFFF"/>
      <sz val="15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 indent="1"/>
    </xf>
    <xf numFmtId="0" fontId="4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left" vertical="center" wrapText="1" indent="1"/>
    </xf>
    <xf numFmtId="0" fontId="6" fillId="0" borderId="0" applyAlignment="1" pivotButton="0" quotePrefix="0" xfId="0">
      <alignment horizontal="left" vertical="center" wrapText="1" inden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 indent="1"/>
    </xf>
    <xf numFmtId="0" fontId="7" fillId="2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 indent="1"/>
    </xf>
    <xf numFmtId="164" fontId="4" fillId="7" borderId="1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 indent="1"/>
    </xf>
    <xf numFmtId="164" fontId="5" fillId="5" borderId="1" applyAlignment="1" pivotButton="0" quotePrefix="0" xfId="0">
      <alignment horizontal="center" vertical="center" wrapText="1"/>
    </xf>
    <xf numFmtId="9" fontId="5" fillId="5" borderId="1" applyAlignment="1" pivotButton="0" quotePrefix="0" xfId="0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left" vertical="center" wrapText="1" indent="1"/>
    </xf>
    <xf numFmtId="0" fontId="8" fillId="2" borderId="1" applyAlignment="1" pivotButton="0" quotePrefix="0" xfId="0">
      <alignment horizontal="center" vertical="center" wrapText="1"/>
    </xf>
    <xf numFmtId="1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166" fontId="4" fillId="7" borderId="1" applyAlignment="1" pivotButton="0" quotePrefix="0" xfId="0">
      <alignment horizontal="center" vertical="center" wrapText="1"/>
    </xf>
    <xf numFmtId="2" fontId="5" fillId="5" borderId="1" applyAlignment="1" pivotButton="0" quotePrefix="0" xfId="0">
      <alignment horizontal="center" vertical="center" wrapText="1"/>
    </xf>
    <xf numFmtId="167" fontId="5" fillId="5" borderId="1" applyAlignment="1" pivotButton="0" quotePrefix="0" xfId="0">
      <alignment horizontal="center" vertical="center" wrapText="1"/>
    </xf>
    <xf numFmtId="2" fontId="4" fillId="7" borderId="1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  <xf numFmtId="168" fontId="5" fillId="5" borderId="1" applyAlignment="1" pivotButton="0" quotePrefix="0" xfId="0">
      <alignment horizontal="center" vertical="center" wrapText="1"/>
    </xf>
    <xf numFmtId="0" fontId="0" fillId="5" borderId="1" pivotButton="0" quotePrefix="0" xfId="0"/>
  </cellXfs>
  <cellStyles count="1">
    <cellStyle name="Normal" xfId="0" builtinId="0" hidden="0"/>
  </cellStyles>
  <dxfs count="4">
    <dxf>
      <font>
        <b val="1"/>
        <color rgb="00006100"/>
      </font>
      <fill>
        <patternFill patternType="solid">
          <fgColor rgb="00C6EFCE"/>
          <bgColor rgb="00C6EFCE"/>
        </patternFill>
      </fill>
    </dxf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5700"/>
      </font>
      <fill>
        <patternFill patternType="solid">
          <fgColor rgb="00FFEB9C"/>
          <bgColor rgb="00FFEB9C"/>
        </patternFill>
      </fill>
    </dxf>
    <dxf>
      <font>
        <b val="1"/>
        <color rgb="00595959"/>
      </font>
      <fill>
        <patternFill patternType="solid">
          <fgColor rgb="00EDEDED"/>
          <b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3381375</colOff>
      <row>0</row>
      <rowOff>57150</rowOff>
    </from>
    <ext cx="1133475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595959"/>
    <outlinePr summaryBelow="1" summaryRight="1"/>
    <pageSetUpPr fitToPage="1"/>
  </sheetPr>
  <dimension ref="B2:F51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2" customWidth="1" min="2" max="2"/>
    <col width="24" customWidth="1" min="3" max="3"/>
    <col width="3" customWidth="1" min="4" max="4"/>
    <col width="32" customWidth="1" min="5" max="5"/>
    <col width="24" customWidth="1" min="6" max="6"/>
    <col width="2.5" customWidth="1" min="7" max="7"/>
  </cols>
  <sheetData>
    <row r="1" ht="84" customHeight="1"/>
    <row r="2">
      <c r="B2" s="1" t="inlineStr">
        <is>
          <t>SOLAR PV SYSTEM INSTALLATION COMMISSIONING REPORT</t>
        </is>
      </c>
      <c r="C2" s="2" t="n"/>
      <c r="D2" s="2" t="n"/>
      <c r="E2" s="2" t="n"/>
      <c r="F2" s="2" t="n"/>
    </row>
    <row r="3">
      <c r="B3" s="2" t="n"/>
      <c r="C3" s="2" t="n"/>
      <c r="D3" s="2" t="n"/>
      <c r="E3" s="2" t="n"/>
      <c r="F3" s="2" t="n"/>
    </row>
    <row r="4" ht="16" customHeight="1">
      <c r="B4" s="3" t="inlineStr">
        <is>
          <t>Regen Renewables (Pvt) Ltd.   ·   31/10 Castle Street, Colombo 8, Sri Lanka   ·   regen.lk</t>
        </is>
      </c>
    </row>
    <row r="5" ht="6" customHeight="1"/>
    <row r="6" ht="20" customHeight="1">
      <c r="B6" s="4" t="inlineStr">
        <is>
          <t>1.  GENERAL DETAILS</t>
        </is>
      </c>
      <c r="C6" s="4" t="n"/>
      <c r="D6" s="4" t="n"/>
      <c r="E6" s="4" t="n"/>
      <c r="F6" s="4" t="n"/>
    </row>
    <row r="7" ht="22" customHeight="1">
      <c r="B7" s="5" t="inlineStr">
        <is>
          <t>Project Name</t>
        </is>
      </c>
      <c r="C7" s="6" t="n"/>
      <c r="E7" s="5" t="inlineStr">
        <is>
          <t>Document No.</t>
        </is>
      </c>
      <c r="F7" s="6" t="n"/>
    </row>
    <row r="8" ht="22" customHeight="1">
      <c r="B8" s="5" t="inlineStr">
        <is>
          <t>Address</t>
        </is>
      </c>
      <c r="C8" s="6" t="n"/>
      <c r="E8" s="5" t="inlineStr">
        <is>
          <t>Revision No.</t>
        </is>
      </c>
      <c r="F8" s="6" t="inlineStr">
        <is>
          <t>Rev 0</t>
        </is>
      </c>
    </row>
    <row r="9" ht="22" customHeight="1">
      <c r="B9" s="5" t="inlineStr">
        <is>
          <t>Contact Person Name</t>
        </is>
      </c>
      <c r="C9" s="6" t="n"/>
      <c r="E9" s="5" t="inlineStr">
        <is>
          <t>Commissioning Date</t>
        </is>
      </c>
      <c r="F9" s="6" t="n"/>
    </row>
    <row r="10" ht="22" customHeight="1">
      <c r="B10" s="5" t="inlineStr">
        <is>
          <t>Telephone — Fixed</t>
        </is>
      </c>
      <c r="C10" s="6" t="n"/>
      <c r="E10" s="5" t="inlineStr">
        <is>
          <t>Telephone — Mobile</t>
        </is>
      </c>
      <c r="F10" s="6" t="n"/>
    </row>
    <row r="11" ht="22" customHeight="1">
      <c r="B11" s="5" t="inlineStr">
        <is>
          <t>E-Mail</t>
        </is>
      </c>
      <c r="C11" s="6" t="n"/>
      <c r="E11" s="5" t="inlineStr">
        <is>
          <t>Weather Condition</t>
        </is>
      </c>
      <c r="F11" s="6" t="n"/>
    </row>
    <row r="12" ht="22" customHeight="1">
      <c r="B12" s="5" t="inlineStr">
        <is>
          <t>Electricity Bill Available</t>
        </is>
      </c>
      <c r="C12" s="6" t="n"/>
      <c r="E12" s="5" t="inlineStr">
        <is>
          <t>Client</t>
        </is>
      </c>
      <c r="F12" s="6" t="n"/>
    </row>
    <row r="14" ht="20" customHeight="1">
      <c r="B14" s="4" t="inlineStr">
        <is>
          <t>2.  PV SYSTEM &amp; UTILITY DETAILS</t>
        </is>
      </c>
      <c r="C14" s="4" t="n"/>
      <c r="D14" s="4" t="n"/>
      <c r="E14" s="4" t="n"/>
      <c r="F14" s="4" t="n"/>
    </row>
    <row r="15" ht="22" customHeight="1">
      <c r="B15" s="5" t="inlineStr">
        <is>
          <t>EPC / Installation Contractor</t>
        </is>
      </c>
      <c r="C15" s="6" t="n"/>
      <c r="E15" s="5" t="inlineStr">
        <is>
          <t>Inverter Brand &amp; Model</t>
        </is>
      </c>
      <c r="F15" s="6" t="n"/>
    </row>
    <row r="16" ht="22" customHeight="1">
      <c r="B16" s="5" t="inlineStr">
        <is>
          <t>PV System Capacity (kWp)</t>
        </is>
      </c>
      <c r="C16" s="6" t="n"/>
      <c r="E16" s="5" t="inlineStr">
        <is>
          <t>Number of Inverters</t>
        </is>
      </c>
      <c r="F16" s="6" t="n"/>
    </row>
    <row r="17" ht="22" customHeight="1">
      <c r="B17" s="5" t="inlineStr">
        <is>
          <t>System AC Capacity (kW)</t>
        </is>
      </c>
      <c r="C17" s="6" t="n"/>
      <c r="E17" s="5" t="inlineStr">
        <is>
          <t>Roof Structure</t>
        </is>
      </c>
      <c r="F17" s="6" t="n"/>
    </row>
    <row r="18" ht="22" customHeight="1">
      <c r="B18" s="5" t="inlineStr">
        <is>
          <t>PV System Connection Method</t>
        </is>
      </c>
      <c r="C18" s="6" t="n"/>
      <c r="E18" s="5" t="inlineStr">
        <is>
          <t>Utility System Voltage</t>
        </is>
      </c>
      <c r="F18" s="6" t="n"/>
    </row>
    <row r="19" ht="22" customHeight="1">
      <c r="B19" s="5" t="inlineStr">
        <is>
          <t>Utility Supplier</t>
        </is>
      </c>
      <c r="C19" s="6" t="n"/>
      <c r="E19" s="5" t="inlineStr">
        <is>
          <t>Utility Supplier's Branch Office</t>
        </is>
      </c>
      <c r="F19" s="6" t="n"/>
    </row>
    <row r="20" ht="22" customHeight="1">
      <c r="B20" s="5" t="inlineStr">
        <is>
          <t>Utility Account No.</t>
        </is>
      </c>
      <c r="C20" s="6" t="n"/>
      <c r="E20" s="5" t="inlineStr">
        <is>
          <t>Installation Type</t>
        </is>
      </c>
      <c r="F20" s="6" t="n"/>
    </row>
    <row r="22" ht="20" customHeight="1">
      <c r="B22" s="4" t="inlineStr">
        <is>
          <t>3.  PV PANEL DETAILS</t>
        </is>
      </c>
      <c r="C22" s="4" t="n"/>
      <c r="D22" s="4" t="n"/>
      <c r="E22" s="4" t="n"/>
      <c r="F22" s="4" t="n"/>
    </row>
    <row r="23" ht="22" customHeight="1">
      <c r="B23" s="5" t="inlineStr">
        <is>
          <t>PV Module Brand &amp; Model</t>
        </is>
      </c>
      <c r="C23" s="6" t="n"/>
      <c r="E23" s="5" t="inlineStr">
        <is>
          <t>Rated Power (Wp)</t>
        </is>
      </c>
      <c r="F23" s="6" t="n"/>
    </row>
    <row r="24" ht="22" customHeight="1">
      <c r="B24" s="5" t="inlineStr">
        <is>
          <t>Voc / Vmp (V)</t>
        </is>
      </c>
      <c r="C24" s="6" t="n"/>
      <c r="E24" s="5" t="inlineStr">
        <is>
          <t>Imp / Isc (A)</t>
        </is>
      </c>
      <c r="F24" s="6" t="n"/>
    </row>
    <row r="25" ht="22" customHeight="1">
      <c r="B25" s="5" t="inlineStr">
        <is>
          <t>Number of Panels</t>
        </is>
      </c>
      <c r="C25" s="6" t="n"/>
      <c r="E25" s="5" t="inlineStr">
        <is>
          <t>Number of Strings</t>
        </is>
      </c>
      <c r="F25" s="6" t="n"/>
    </row>
    <row r="27" ht="20" customHeight="1">
      <c r="B27" s="4" t="inlineStr">
        <is>
          <t>4.  PREPARED / REVIEWED / APPROVED</t>
        </is>
      </c>
      <c r="C27" s="4" t="n"/>
      <c r="D27" s="4" t="n"/>
      <c r="E27" s="4" t="n"/>
      <c r="F27" s="4" t="n"/>
    </row>
    <row r="28" ht="22" customHeight="1">
      <c r="B28" s="5" t="inlineStr">
        <is>
          <t>Prepared By (Name / Company)</t>
        </is>
      </c>
      <c r="C28" s="6" t="n"/>
      <c r="E28" s="5" t="inlineStr">
        <is>
          <t>Reviewed By (Name / Company)</t>
        </is>
      </c>
      <c r="F28" s="6" t="n"/>
    </row>
    <row r="29" ht="22" customHeight="1">
      <c r="B29" s="5" t="inlineStr">
        <is>
          <t>Approved By (Name / Company)</t>
        </is>
      </c>
      <c r="C29" s="6" t="n"/>
      <c r="E29" s="5" t="inlineStr">
        <is>
          <t>Approval Date</t>
        </is>
      </c>
      <c r="F29" s="6" t="n"/>
    </row>
    <row r="31" ht="20" customHeight="1">
      <c r="B31" s="4" t="inlineStr">
        <is>
          <t>5.  HOW THIS WORKBOOK WORKS</t>
        </is>
      </c>
      <c r="C31" s="4" t="n"/>
      <c r="D31" s="4" t="n"/>
      <c r="E31" s="4" t="n"/>
      <c r="F31" s="4" t="n"/>
    </row>
    <row r="32" ht="30" customHeight="1">
      <c r="B32" s="7" t="inlineStr">
        <is>
          <t>•  Yellow cells = fill in on site.  Grey cells = calculated automatically (Pass / Fail, totals, deviations) — do not type over them.</t>
        </is>
      </c>
    </row>
    <row r="33" ht="30" customHeight="1">
      <c r="B33" s="7" t="inlineStr">
        <is>
          <t>•  Every reading is entered ONCE, in its own table. The Summary sheet collects all results automatically, and the project name is picked up from this Cover on every sheet.</t>
        </is>
      </c>
    </row>
    <row r="34" ht="30" customHeight="1">
      <c r="B34" s="7" t="inlineStr">
        <is>
          <t>•  Acceptance limits (minimum insulation, earth resistance, voltage / frequency window, thermal ΔT) are on “Equipment and Limits”. They are defaults — edit them to your company / utility standard.</t>
        </is>
      </c>
    </row>
    <row r="35" ht="30" customHeight="1">
      <c r="B35" s="7" t="inlineStr">
        <is>
          <t>•  Inverters differ per project: copy the “DC INV 01” tab (right-click → Move or Copy → Create a copy), rename it, then add a matching row on the Summary sheet. MPPT / String columns are free-text, so any layout works.</t>
        </is>
      </c>
    </row>
    <row r="36" ht="30" customHeight="1">
      <c r="B36" s="7" t="inlineStr">
        <is>
          <t>•  Insulation testers that show “&gt;” or “OL”: type the highest number displayed (e.g. 999). Single-phase inverters: type N/A in the L2 / L3 insulation cells.</t>
        </is>
      </c>
    </row>
    <row r="37" ht="30" customHeight="1">
      <c r="B37" s="7" t="inlineStr">
        <is>
          <t>•  Battery Test applies to hybrid systems only — set “Applicable” to Yes on the Summary sheet when a battery is installed.</t>
        </is>
      </c>
    </row>
    <row r="39" ht="20" customHeight="1">
      <c r="B39" s="4" t="inlineStr">
        <is>
          <t>6.  REPORT CONTENTS</t>
        </is>
      </c>
      <c r="C39" s="4" t="n"/>
      <c r="D39" s="4" t="n"/>
      <c r="E39" s="4" t="n"/>
      <c r="F39" s="4" t="n"/>
    </row>
    <row r="40" ht="18" customHeight="1">
      <c r="B40" s="8" t="n">
        <v>1</v>
      </c>
      <c r="C40" s="9" t="inlineStr">
        <is>
          <t>Summary (auto)</t>
        </is>
      </c>
      <c r="D40" s="9" t="n"/>
      <c r="E40" s="9" t="n"/>
      <c r="F40" s="9" t="n"/>
    </row>
    <row r="41" ht="18" customHeight="1">
      <c r="B41" s="8" t="n">
        <v>2</v>
      </c>
      <c r="C41" s="9" t="inlineStr">
        <is>
          <t>Equipment and Limits</t>
        </is>
      </c>
      <c r="D41" s="9" t="n"/>
      <c r="E41" s="9" t="n"/>
      <c r="F41" s="9" t="n"/>
    </row>
    <row r="42" ht="18" customHeight="1">
      <c r="B42" s="8" t="n">
        <v>3</v>
      </c>
      <c r="C42" s="9" t="inlineStr">
        <is>
          <t>Visual Inspection</t>
        </is>
      </c>
      <c r="D42" s="9" t="n"/>
      <c r="E42" s="9" t="n"/>
      <c r="F42" s="9" t="n"/>
    </row>
    <row r="43" ht="18" customHeight="1">
      <c r="B43" s="8" t="n">
        <v>4</v>
      </c>
      <c r="C43" s="9" t="inlineStr">
        <is>
          <t>Inverters and Panel</t>
        </is>
      </c>
      <c r="D43" s="9" t="n"/>
      <c r="E43" s="9" t="n"/>
      <c r="F43" s="9" t="n"/>
    </row>
    <row r="44" ht="18" customHeight="1">
      <c r="B44" s="8" t="n">
        <v>5</v>
      </c>
      <c r="C44" s="9" t="inlineStr">
        <is>
          <t>DC String Tests — one sheet per inverter</t>
        </is>
      </c>
      <c r="D44" s="9" t="n"/>
      <c r="E44" s="9" t="n"/>
      <c r="F44" s="9" t="n"/>
    </row>
    <row r="45" ht="18" customHeight="1">
      <c r="B45" s="8" t="n">
        <v>6</v>
      </c>
      <c r="C45" s="9" t="inlineStr">
        <is>
          <t>AC Output (incl. grid no-load)</t>
        </is>
      </c>
      <c r="D45" s="9" t="n"/>
      <c r="E45" s="9" t="n"/>
      <c r="F45" s="9" t="n"/>
    </row>
    <row r="46" ht="18" customHeight="1">
      <c r="B46" s="8" t="n">
        <v>7</v>
      </c>
      <c r="C46" s="9" t="inlineStr">
        <is>
          <t>AC Insulation and Earthing</t>
        </is>
      </c>
      <c r="D46" s="9" t="n"/>
      <c r="E46" s="9" t="n"/>
      <c r="F46" s="9" t="n"/>
    </row>
    <row r="47" ht="18" customHeight="1">
      <c r="B47" s="8" t="n">
        <v>8</v>
      </c>
      <c r="C47" s="9" t="inlineStr">
        <is>
          <t>Thermal Imaging</t>
        </is>
      </c>
      <c r="D47" s="9" t="n"/>
      <c r="E47" s="9" t="n"/>
      <c r="F47" s="9" t="n"/>
    </row>
    <row r="48" ht="18" customHeight="1">
      <c r="B48" s="8" t="n">
        <v>9</v>
      </c>
      <c r="C48" s="9" t="inlineStr">
        <is>
          <t>Battery (hybrid only)</t>
        </is>
      </c>
      <c r="D48" s="9" t="n"/>
      <c r="E48" s="9" t="n"/>
      <c r="F48" s="9" t="n"/>
    </row>
    <row r="49" ht="18" customHeight="1">
      <c r="B49" s="8" t="n">
        <v>10</v>
      </c>
      <c r="C49" s="9" t="inlineStr">
        <is>
          <t>Protection and Grid</t>
        </is>
      </c>
      <c r="D49" s="9" t="n"/>
      <c r="E49" s="9" t="n"/>
      <c r="F49" s="9" t="n"/>
    </row>
    <row r="50" ht="18" customHeight="1">
      <c r="B50" s="8" t="n">
        <v>11</v>
      </c>
      <c r="C50" s="9" t="inlineStr">
        <is>
          <t>Punch List</t>
        </is>
      </c>
      <c r="D50" s="9" t="n"/>
      <c r="E50" s="9" t="n"/>
      <c r="F50" s="9" t="n"/>
    </row>
    <row r="51" ht="18" customHeight="1">
      <c r="B51" s="8" t="n">
        <v>12</v>
      </c>
      <c r="C51" s="9" t="inlineStr">
        <is>
          <t>Sign-Off &amp; Handover</t>
        </is>
      </c>
      <c r="D51" s="9" t="n"/>
      <c r="E51" s="9" t="n"/>
      <c r="F51" s="9" t="n"/>
    </row>
  </sheetData>
  <mergeCells count="26">
    <mergeCell ref="B4:F4"/>
    <mergeCell ref="C48:F48"/>
    <mergeCell ref="B31:F31"/>
    <mergeCell ref="B22:F22"/>
    <mergeCell ref="B27:F27"/>
    <mergeCell ref="B39:F39"/>
    <mergeCell ref="C49:F49"/>
    <mergeCell ref="B14:F14"/>
    <mergeCell ref="C42:F42"/>
    <mergeCell ref="C45:F45"/>
    <mergeCell ref="B34:F34"/>
    <mergeCell ref="B37:F37"/>
    <mergeCell ref="C41:F41"/>
    <mergeCell ref="C47:F47"/>
    <mergeCell ref="C50:F50"/>
    <mergeCell ref="C44:F44"/>
    <mergeCell ref="C40:F40"/>
    <mergeCell ref="B6:F6"/>
    <mergeCell ref="B2:F3"/>
    <mergeCell ref="B33:F33"/>
    <mergeCell ref="C43:F43"/>
    <mergeCell ref="C46:F46"/>
    <mergeCell ref="B36:F36"/>
    <mergeCell ref="C51:F51"/>
    <mergeCell ref="B32:F32"/>
    <mergeCell ref="B35:F35"/>
  </mergeCells>
  <dataValidations count="5">
    <dataValidation sqref="C12" showDropDown="0" showInputMessage="0" showErrorMessage="0" allowBlank="1" type="list">
      <formula1>"Yes,No"</formula1>
    </dataValidation>
    <dataValidation sqref="C18" showDropDown="0" showInputMessage="0" showErrorMessage="0" allowBlank="1" type="list">
      <formula1>"Net Metering,Net Accounting,Net Plus"</formula1>
    </dataValidation>
    <dataValidation sqref="C19" showDropDown="0" showInputMessage="0" showErrorMessage="0" allowBlank="1" type="list">
      <formula1>"CEB,LECO"</formula1>
    </dataValidation>
    <dataValidation sqref="F18" showDropDown="0" showInputMessage="0" showErrorMessage="0" allowBlank="1" type="list">
      <formula1>"230V,400V"</formula1>
    </dataValidation>
    <dataValidation sqref="F20" showDropDown="0" showInputMessage="0" showErrorMessage="0" allowBlank="1" type="list">
      <formula1>"Grid-tied,Hybrid (with battery),Off-grid"</formula1>
    </dataValidation>
  </dataValidations>
  <printOptions horizontalCentered="1"/>
  <pageMargins left="0.4" right="0.4" top="0.6" bottom="0.7" header="0.25" footer="0.3"/>
  <pageSetup orientation="portrait" paperSize="9" fitToHeight="1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 fitToPage="1"/>
  </sheetPr>
  <dimension ref="B2:I23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5" customWidth="1" min="2" max="2"/>
    <col width="40" customWidth="1" min="3" max="3"/>
    <col width="12" customWidth="1" min="4" max="4"/>
    <col width="9" customWidth="1" min="5" max="5"/>
    <col width="9" customWidth="1" min="6" max="6"/>
    <col width="9" customWidth="1" min="7" max="7"/>
    <col width="16" customWidth="1" min="8" max="8"/>
    <col width="36" customWidth="1" min="9" max="9"/>
  </cols>
  <sheetData>
    <row r="2">
      <c r="B2" s="10" t="inlineStr">
        <is>
          <t>COMMISSIONING SUMMARY  (calculated automatically)</t>
        </is>
      </c>
      <c r="C2" s="2" t="n"/>
      <c r="D2" s="2" t="n"/>
      <c r="E2" s="2" t="n"/>
      <c r="F2" s="2" t="n"/>
      <c r="G2" s="2" t="n"/>
      <c r="H2" s="2" t="n"/>
      <c r="I2" s="2" t="n"/>
    </row>
    <row r="3">
      <c r="B3" s="2" t="n"/>
      <c r="C3" s="2" t="n"/>
      <c r="D3" s="2" t="n"/>
      <c r="E3" s="2" t="n"/>
      <c r="F3" s="2" t="n"/>
      <c r="G3" s="2" t="n"/>
      <c r="H3" s="2" t="n"/>
      <c r="I3" s="2" t="n"/>
    </row>
    <row r="4" ht="16" customHeight="1">
      <c r="B4" s="3">
        <f>"Project: "&amp;IF(Cover!$C$7="","(enter on Cover sheet)",Cover!$C$7)&amp;"     |     Regen Renewables (Pvt) Ltd."</f>
        <v/>
      </c>
    </row>
    <row r="5" ht="6" customHeight="1"/>
    <row r="6" ht="22" customHeight="1">
      <c r="B6" s="5" t="inlineStr">
        <is>
          <t>Project</t>
        </is>
      </c>
      <c r="C6" s="5" t="n"/>
      <c r="D6" s="11">
        <f>IF(Cover!$C$7="","",Cover!$C$7)</f>
        <v/>
      </c>
      <c r="E6" s="11" t="n"/>
      <c r="F6" s="11" t="n"/>
      <c r="G6" s="11" t="n"/>
      <c r="H6" s="11" t="n"/>
      <c r="I6" s="11" t="n"/>
    </row>
    <row r="7" ht="22" customHeight="1">
      <c r="B7" s="5" t="inlineStr">
        <is>
          <t>Commissioning Date</t>
        </is>
      </c>
      <c r="C7" s="5" t="n"/>
      <c r="D7" s="12">
        <f>IF(Cover!$F$9="","",Cover!$F$9)</f>
        <v/>
      </c>
      <c r="E7" s="11" t="n"/>
      <c r="F7" s="11" t="n"/>
      <c r="G7" s="11" t="n"/>
      <c r="H7" s="11" t="n"/>
      <c r="I7" s="11" t="n"/>
    </row>
    <row r="8" ht="6" customHeight="1"/>
    <row r="9" ht="26" customHeight="1">
      <c r="B9" s="13" t="inlineStr">
        <is>
          <t>No.</t>
        </is>
      </c>
      <c r="C9" s="13" t="inlineStr">
        <is>
          <t>Section</t>
        </is>
      </c>
      <c r="D9" s="13" t="inlineStr">
        <is>
          <t>Applicable</t>
        </is>
      </c>
      <c r="E9" s="13" t="inlineStr">
        <is>
          <t>Pass</t>
        </is>
      </c>
      <c r="F9" s="13" t="inlineStr">
        <is>
          <t>Fail</t>
        </is>
      </c>
      <c r="G9" s="13" t="inlineStr">
        <is>
          <t>Open</t>
        </is>
      </c>
      <c r="H9" s="13" t="inlineStr">
        <is>
          <t>Status</t>
        </is>
      </c>
      <c r="I9" s="13" t="inlineStr">
        <is>
          <t>Remarks</t>
        </is>
      </c>
    </row>
    <row r="10" ht="24" customHeight="1">
      <c r="B10" s="8" t="n">
        <v>1</v>
      </c>
      <c r="C10" s="9" t="inlineStr">
        <is>
          <t>Visual &amp; Mechanical Inspection</t>
        </is>
      </c>
      <c r="D10" s="14" t="inlineStr">
        <is>
          <t>Yes</t>
        </is>
      </c>
      <c r="E10" s="15">
        <f>COUNTIF('Visual Inspection'!$D$7:$D$42,"Pass")</f>
        <v/>
      </c>
      <c r="F10" s="15">
        <f>COUNTIF('Visual Inspection'!$D$7:$D$42,"Fail")</f>
        <v/>
      </c>
      <c r="G10" s="15">
        <f>COUNTA('Visual Inspection'!$C$7:$C$42)-COUNTIF('Visual Inspection'!$D$7:$D$42,"Pass")-COUNTIF('Visual Inspection'!$D$7:$D$42,"Fail")-COUNTIF('Visual Inspection'!$D$7:$D$42,"N/A")</f>
        <v/>
      </c>
      <c r="H10" s="15">
        <f>IF(D10="No","N/A",IF(F10&gt;0,"FAIL",IF(G10&gt;0,"IN PROGRESS",IF(E10&gt;0,"PASS","NOT TESTED"))))</f>
        <v/>
      </c>
      <c r="I10" s="6" t="n"/>
    </row>
    <row r="11" ht="24" customHeight="1">
      <c r="B11" s="8" t="n">
        <v>2</v>
      </c>
      <c r="C11" s="9" t="inlineStr">
        <is>
          <t>DC String Tests — INV 01</t>
        </is>
      </c>
      <c r="D11" s="14" t="inlineStr">
        <is>
          <t>Yes</t>
        </is>
      </c>
      <c r="E11" s="15">
        <f>COUNTIF('DC INV 01'!$N$15:$N$50,"Pass")</f>
        <v/>
      </c>
      <c r="F11" s="15">
        <f>COUNTIF('DC INV 01'!$N$15:$N$50,"Fail")</f>
        <v/>
      </c>
      <c r="G11" s="15">
        <f>COUNTIF('DC INV 01'!$N$15:$N$50,"Incomplete")</f>
        <v/>
      </c>
      <c r="H11" s="15">
        <f>IF(D11="No","N/A",IF(F11&gt;0,"FAIL",IF(G11&gt;0,"IN PROGRESS",IF(E11&gt;0,"PASS","NOT TESTED"))))</f>
        <v/>
      </c>
      <c r="I11" s="6" t="n"/>
    </row>
    <row r="12" ht="24" customHeight="1">
      <c r="B12" s="8" t="n">
        <v>3</v>
      </c>
      <c r="C12" s="9" t="inlineStr">
        <is>
          <t>DC String Tests — INV 02</t>
        </is>
      </c>
      <c r="D12" s="14" t="inlineStr">
        <is>
          <t>Yes</t>
        </is>
      </c>
      <c r="E12" s="15">
        <f>COUNTIF('DC INV 02'!$N$15:$N$50,"Pass")</f>
        <v/>
      </c>
      <c r="F12" s="15">
        <f>COUNTIF('DC INV 02'!$N$15:$N$50,"Fail")</f>
        <v/>
      </c>
      <c r="G12" s="15">
        <f>COUNTIF('DC INV 02'!$N$15:$N$50,"Incomplete")</f>
        <v/>
      </c>
      <c r="H12" s="15">
        <f>IF(D12="No","N/A",IF(F12&gt;0,"FAIL",IF(G12&gt;0,"IN PROGRESS",IF(E12&gt;0,"PASS","NOT TESTED"))))</f>
        <v/>
      </c>
      <c r="I12" s="6" t="n"/>
    </row>
    <row r="13" ht="24" customHeight="1">
      <c r="B13" s="8" t="n">
        <v>4</v>
      </c>
      <c r="C13" s="9" t="inlineStr">
        <is>
          <t>AC Output (grid no-load &amp; inverters)</t>
        </is>
      </c>
      <c r="D13" s="14" t="inlineStr">
        <is>
          <t>Yes</t>
        </is>
      </c>
      <c r="E13" s="15">
        <f>COUNTIF('AC Output'!$N$11:$N$22,"Pass")</f>
        <v/>
      </c>
      <c r="F13" s="15">
        <f>COUNTIF('AC Output'!$N$11:$N$22,"Fail")</f>
        <v/>
      </c>
      <c r="G13" s="15">
        <f>COUNTIF('AC Output'!$N$11:$N$22,"Incomplete")</f>
        <v/>
      </c>
      <c r="H13" s="15">
        <f>IF(D13="No","N/A",IF(F13&gt;0,"FAIL",IF(G13&gt;0,"IN PROGRESS",IF(E13&gt;0,"PASS","NOT TESTED"))))</f>
        <v/>
      </c>
      <c r="I13" s="6" t="n"/>
    </row>
    <row r="14" ht="24" customHeight="1">
      <c r="B14" s="8" t="n">
        <v>5</v>
      </c>
      <c r="C14" s="9" t="inlineStr">
        <is>
          <t>AC Insulation Resistance</t>
        </is>
      </c>
      <c r="D14" s="14" t="inlineStr">
        <is>
          <t>Yes</t>
        </is>
      </c>
      <c r="E14" s="15">
        <f>COUNTIF('AC Insulation and Earthing'!$N$10:$N$21,"Pass")</f>
        <v/>
      </c>
      <c r="F14" s="15">
        <f>COUNTIF('AC Insulation and Earthing'!$N$10:$N$21,"Fail")</f>
        <v/>
      </c>
      <c r="G14" s="15">
        <f>COUNTIF('AC Insulation and Earthing'!$N$10:$N$21,"Incomplete")</f>
        <v/>
      </c>
      <c r="H14" s="15">
        <f>IF(D14="No","N/A",IF(F14&gt;0,"FAIL",IF(G14&gt;0,"IN PROGRESS",IF(E14&gt;0,"PASS","NOT TESTED"))))</f>
        <v/>
      </c>
      <c r="I14" s="6" t="n"/>
    </row>
    <row r="15" ht="24" customHeight="1">
      <c r="B15" s="8" t="n">
        <v>6</v>
      </c>
      <c r="C15" s="9" t="inlineStr">
        <is>
          <t>Earthing</t>
        </is>
      </c>
      <c r="D15" s="14" t="inlineStr">
        <is>
          <t>Yes</t>
        </is>
      </c>
      <c r="E15" s="15">
        <f>COUNTIF('AC Insulation and Earthing'!$G$26:$G$33,"Pass")</f>
        <v/>
      </c>
      <c r="F15" s="15">
        <f>COUNTIF('AC Insulation and Earthing'!$G$26:$G$33,"Fail")</f>
        <v/>
      </c>
      <c r="G15" s="15">
        <f>0</f>
        <v/>
      </c>
      <c r="H15" s="15">
        <f>IF(D15="No","N/A",IF(F15&gt;0,"FAIL",IF(G15&gt;0,"IN PROGRESS",IF(E15&gt;0,"PASS","NOT TESTED"))))</f>
        <v/>
      </c>
      <c r="I15" s="6" t="n"/>
    </row>
    <row r="16" ht="24" customHeight="1">
      <c r="B16" s="8" t="n">
        <v>7</v>
      </c>
      <c r="C16" s="9" t="inlineStr">
        <is>
          <t>Thermal Imaging (panels, inverters, switchgear)</t>
        </is>
      </c>
      <c r="D16" s="14" t="inlineStr">
        <is>
          <t>Yes</t>
        </is>
      </c>
      <c r="E16" s="15">
        <f>COUNTIF('Thermal Imaging'!$H$12:$H$21,"Pass")+COUNTIF('Thermal Imaging'!$H$25:$H$32,"Pass")+COUNTIF('Thermal Imaging'!$H$36:$H$44,"Pass")</f>
        <v/>
      </c>
      <c r="F16" s="15">
        <f>COUNTIF('Thermal Imaging'!$H$12:$H$21,"Fail")+COUNTIF('Thermal Imaging'!$H$25:$H$32,"Fail")+COUNTIF('Thermal Imaging'!$H$36:$H$44,"Fail")</f>
        <v/>
      </c>
      <c r="G16" s="15">
        <f>COUNTIF('Thermal Imaging'!$H$12:$H$21,"Incomplete")+COUNTIF('Thermal Imaging'!$H$25:$H$32,"Incomplete")+COUNTIF('Thermal Imaging'!$H$36:$H$44,"Incomplete")</f>
        <v/>
      </c>
      <c r="H16" s="15">
        <f>IF(D16="No","N/A",IF(F16&gt;0,"FAIL",IF(G16&gt;0,"IN PROGRESS",IF(E16&gt;0,"PASS","NOT TESTED"))))</f>
        <v/>
      </c>
      <c r="I16" s="6" t="n"/>
    </row>
    <row r="17" ht="24" customHeight="1">
      <c r="B17" s="8" t="n">
        <v>8</v>
      </c>
      <c r="C17" s="9" t="inlineStr">
        <is>
          <t>Battery Test (hybrid systems only)</t>
        </is>
      </c>
      <c r="D17" s="14" t="inlineStr">
        <is>
          <t>No</t>
        </is>
      </c>
      <c r="E17" s="15">
        <f>COUNTIF('Battery'!$H$14:$H$29,"Pass")+COUNTIF('Battery'!$F$33:$F$41,"Pass")</f>
        <v/>
      </c>
      <c r="F17" s="15">
        <f>COUNTIF('Battery'!$H$14:$H$29,"Fail")+COUNTIF('Battery'!$F$33:$F$41,"Fail")</f>
        <v/>
      </c>
      <c r="G17" s="15">
        <f>COUNTA('Battery'!$C$33:$C$41)-COUNTIF('Battery'!$F$33:$F$41,"Pass")-COUNTIF('Battery'!$F$33:$F$41,"Fail")-COUNTIF('Battery'!$F$33:$F$41,"N/A")</f>
        <v/>
      </c>
      <c r="H17" s="15">
        <f>IF(D17="No","N/A",IF(F17&gt;0,"FAIL",IF(G17&gt;0,"IN PROGRESS",IF(E17&gt;0,"PASS","NOT TESTED"))))</f>
        <v/>
      </c>
      <c r="I17" s="6" t="n"/>
    </row>
    <row r="18" ht="24" customHeight="1">
      <c r="B18" s="8" t="n">
        <v>9</v>
      </c>
      <c r="C18" s="9" t="inlineStr">
        <is>
          <t>Protection &amp; Grid Settings</t>
        </is>
      </c>
      <c r="D18" s="14" t="inlineStr">
        <is>
          <t>Yes</t>
        </is>
      </c>
      <c r="E18" s="15">
        <f>COUNTIF('Protection and Grid'!$F$7:$F$20,"Pass")</f>
        <v/>
      </c>
      <c r="F18" s="15">
        <f>COUNTIF('Protection and Grid'!$F$7:$F$20,"Fail")</f>
        <v/>
      </c>
      <c r="G18" s="15">
        <f>COUNTA('Protection and Grid'!$C$7:$C$20)-COUNTIF('Protection and Grid'!$F$7:$F$20,"Pass")-COUNTIF('Protection and Grid'!$F$7:$F$20,"Fail")-COUNTIF('Protection and Grid'!$F$7:$F$20,"N/A")</f>
        <v/>
      </c>
      <c r="H18" s="15">
        <f>IF(D18="No","N/A",IF(F18&gt;0,"FAIL",IF(G18&gt;0,"IN PROGRESS",IF(E18&gt;0,"PASS","NOT TESTED"))))</f>
        <v/>
      </c>
      <c r="I18" s="6" t="n"/>
    </row>
    <row r="19" ht="24" customHeight="1">
      <c r="B19" s="8" t="n">
        <v>10</v>
      </c>
      <c r="C19" s="9" t="inlineStr">
        <is>
          <t>Punch List — all items closed</t>
        </is>
      </c>
      <c r="D19" s="14" t="inlineStr">
        <is>
          <t>Yes</t>
        </is>
      </c>
      <c r="E19" s="15">
        <f>COUNTIF('Punch List'!$K$7:$K$24,"Closed")</f>
        <v/>
      </c>
      <c r="F19" s="15">
        <f>0</f>
        <v/>
      </c>
      <c r="G19" s="15">
        <f>COUNTIF('Punch List'!$K$7:$K$24,"Open")+COUNTIF('Punch List'!$K$7:$K$24,"In Progress")</f>
        <v/>
      </c>
      <c r="H19" s="15">
        <f>IF(D19="No","N/A",IF(G19&gt;0,"IN PROGRESS","PASS"))</f>
        <v/>
      </c>
      <c r="I19" s="6" t="n"/>
    </row>
    <row r="21" ht="30" customHeight="1">
      <c r="B21" s="5" t="inlineStr">
        <is>
          <t>OVERALL RESULT</t>
        </is>
      </c>
      <c r="C21" s="5" t="n"/>
      <c r="D21" s="5" t="n"/>
      <c r="E21" s="5" t="n"/>
      <c r="F21" s="5" t="n"/>
      <c r="G21" s="5" t="n"/>
      <c r="H21" s="15">
        <f>IF(COUNTIF(H10:H19,"FAIL")&gt;0,"FAIL",IF(COUNTIF(H10:H19,"IN PROGRESS")+COUNTIF(H10:H19,"NOT TESTED")&gt;0,"INCOMPLETE","PASS"))</f>
        <v/>
      </c>
      <c r="I21" s="15" t="n"/>
    </row>
    <row r="23" ht="28" customHeight="1">
      <c r="B23" s="16" t="inlineStr">
        <is>
          <t>Added another inverter? Copy a DC sheet, then insert a row here and point it at the new sheet’s Result column (column N, rows 15–50).</t>
        </is>
      </c>
    </row>
  </sheetData>
  <mergeCells count="9">
    <mergeCell ref="B6:C6"/>
    <mergeCell ref="H21:I21"/>
    <mergeCell ref="B7:C7"/>
    <mergeCell ref="B2:I3"/>
    <mergeCell ref="D6:I6"/>
    <mergeCell ref="B23:I23"/>
    <mergeCell ref="B21:G21"/>
    <mergeCell ref="D7:I7"/>
    <mergeCell ref="B4:I4"/>
  </mergeCells>
  <conditionalFormatting sqref="H10:H1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"Incomplete"</formula>
    </cfRule>
    <cfRule type="cellIs" priority="4" operator="equal" dxfId="2">
      <formula>"IN PROGRESS"</formula>
    </cfRule>
    <cfRule type="cellIs" priority="5" operator="equal" dxfId="2">
      <formula>"INCOMPLETE"</formula>
    </cfRule>
    <cfRule type="cellIs" priority="6" operator="equal" dxfId="3">
      <formula>"N/A"</formula>
    </cfRule>
  </conditionalFormatting>
  <conditionalFormatting sqref="H21"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"Incomplete"</formula>
    </cfRule>
    <cfRule type="cellIs" priority="10" operator="equal" dxfId="2">
      <formula>"IN PROGRESS"</formula>
    </cfRule>
    <cfRule type="cellIs" priority="11" operator="equal" dxfId="2">
      <formula>"INCOMPLETE"</formula>
    </cfRule>
    <cfRule type="cellIs" priority="12" operator="equal" dxfId="3">
      <formula>"N/A"</formula>
    </cfRule>
  </conditionalFormatting>
  <dataValidations count="1">
    <dataValidation sqref="D10:D19" showDropDown="0" showInputMessage="0" showErrorMessage="0" allowBlank="1" type="list">
      <formula1>"Yes,No"</formula1>
    </dataValidation>
  </dataValidations>
  <printOptions horizontalCentered="1"/>
  <pageMargins left="0.4" right="0.4" top="0.6" bottom="0.7" header="0.25" footer="0.3"/>
  <pageSetup orientation="portrait" paperSize="9" fitToHeight="1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595959"/>
    <outlinePr summaryBelow="1" summaryRight="1"/>
    <pageSetUpPr fitToPage="1"/>
  </sheetPr>
  <dimension ref="B2:H27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6" customWidth="1" min="2" max="2"/>
    <col width="38" customWidth="1" min="3" max="3"/>
    <col width="26" customWidth="1" min="4" max="4"/>
    <col width="18" customWidth="1" min="5" max="5"/>
    <col width="18" customWidth="1" min="6" max="6"/>
    <col width="18" customWidth="1" min="7" max="7"/>
    <col width="36" customWidth="1" min="8" max="8"/>
  </cols>
  <sheetData>
    <row r="2">
      <c r="B2" s="10" t="inlineStr">
        <is>
          <t>TEST EQUIPMENT &amp; ACCEPTANCE LIMITS</t>
        </is>
      </c>
      <c r="C2" s="2" t="n"/>
      <c r="D2" s="2" t="n"/>
      <c r="E2" s="2" t="n"/>
      <c r="F2" s="2" t="n"/>
      <c r="G2" s="2" t="n"/>
      <c r="H2" s="2" t="n"/>
    </row>
    <row r="3">
      <c r="B3" s="2" t="n"/>
      <c r="C3" s="2" t="n"/>
      <c r="D3" s="2" t="n"/>
      <c r="E3" s="2" t="n"/>
      <c r="F3" s="2" t="n"/>
      <c r="G3" s="2" t="n"/>
      <c r="H3" s="2" t="n"/>
    </row>
    <row r="4" ht="16" customHeight="1">
      <c r="B4" s="3">
        <f>"Project: "&amp;IF(Cover!$C$7="","(enter on Cover sheet)",Cover!$C$7)&amp;"     |     Regen Renewables (Pvt) Ltd."</f>
        <v/>
      </c>
    </row>
    <row r="5" ht="6" customHeight="1"/>
    <row r="6">
      <c r="B6" s="4" t="inlineStr">
        <is>
          <t>TEST EQUIPMENT REGISTER  —  recorded once, applies to every test in this report</t>
        </is>
      </c>
      <c r="C6" s="4" t="n"/>
      <c r="D6" s="4" t="n"/>
      <c r="E6" s="4" t="n"/>
      <c r="F6" s="4" t="n"/>
      <c r="G6" s="4" t="n"/>
      <c r="H6" s="4" t="n"/>
    </row>
    <row r="7" ht="32" customHeight="1">
      <c r="B7" s="13" t="inlineStr">
        <is>
          <t>No.</t>
        </is>
      </c>
      <c r="C7" s="13" t="inlineStr">
        <is>
          <t>Instrument</t>
        </is>
      </c>
      <c r="D7" s="13" t="inlineStr">
        <is>
          <t>Model / Make</t>
        </is>
      </c>
      <c r="E7" s="13" t="inlineStr">
        <is>
          <t>Serial No.</t>
        </is>
      </c>
      <c r="F7" s="13" t="inlineStr">
        <is>
          <t>Calibrated On</t>
        </is>
      </c>
      <c r="G7" s="13" t="inlineStr">
        <is>
          <t>Calibration Due</t>
        </is>
      </c>
      <c r="H7" s="13" t="inlineStr">
        <is>
          <t>Used For</t>
        </is>
      </c>
    </row>
    <row r="8" ht="22" customHeight="1">
      <c r="B8" s="8" t="n">
        <v>1</v>
      </c>
      <c r="C8" s="9" t="inlineStr">
        <is>
          <t>Insulation Resistance Tester</t>
        </is>
      </c>
      <c r="D8" s="6" t="n"/>
      <c r="E8" s="14" t="n"/>
      <c r="F8" s="17" t="n"/>
      <c r="G8" s="17" t="n"/>
      <c r="H8" s="6" t="inlineStr">
        <is>
          <t>DC &amp; AC insulation tests</t>
        </is>
      </c>
    </row>
    <row r="9" ht="22" customHeight="1">
      <c r="B9" s="8" t="n">
        <v>2</v>
      </c>
      <c r="C9" s="9" t="inlineStr">
        <is>
          <t>Digital Multimeter / Clamp Meter</t>
        </is>
      </c>
      <c r="D9" s="6" t="n"/>
      <c r="E9" s="14" t="n"/>
      <c r="F9" s="17" t="n"/>
      <c r="G9" s="17" t="n"/>
      <c r="H9" s="6" t="inlineStr">
        <is>
          <t>Voltage, current, polarity</t>
        </is>
      </c>
    </row>
    <row r="10" ht="22" customHeight="1">
      <c r="B10" s="8" t="n">
        <v>3</v>
      </c>
      <c r="C10" s="9" t="inlineStr">
        <is>
          <t>PV String Tester / I-V Curve Tracer</t>
        </is>
      </c>
      <c r="D10" s="6" t="n"/>
      <c r="E10" s="14" t="n"/>
      <c r="F10" s="17" t="n"/>
      <c r="G10" s="17" t="n"/>
      <c r="H10" s="6" t="inlineStr">
        <is>
          <t>Voc, Isc, string current</t>
        </is>
      </c>
    </row>
    <row r="11" ht="22" customHeight="1">
      <c r="B11" s="8" t="n">
        <v>4</v>
      </c>
      <c r="C11" s="9" t="inlineStr">
        <is>
          <t>Digital Earth Tester</t>
        </is>
      </c>
      <c r="D11" s="6" t="inlineStr">
        <is>
          <t>4105A / KYORITSU</t>
        </is>
      </c>
      <c r="E11" s="14" t="n"/>
      <c r="F11" s="17" t="n"/>
      <c r="G11" s="17" t="n"/>
      <c r="H11" s="6" t="inlineStr">
        <is>
          <t>Earthing test</t>
        </is>
      </c>
    </row>
    <row r="12" ht="22" customHeight="1">
      <c r="B12" s="8" t="n">
        <v>5</v>
      </c>
      <c r="C12" s="9" t="inlineStr">
        <is>
          <t>Thermal Imaging Camera</t>
        </is>
      </c>
      <c r="D12" s="6" t="n"/>
      <c r="E12" s="14" t="n"/>
      <c r="F12" s="17" t="n"/>
      <c r="G12" s="17" t="n"/>
      <c r="H12" s="6" t="inlineStr">
        <is>
          <t>Panels, inverters, switchgear</t>
        </is>
      </c>
    </row>
    <row r="13" ht="22" customHeight="1">
      <c r="B13" s="8" t="n">
        <v>6</v>
      </c>
      <c r="C13" s="9" t="inlineStr">
        <is>
          <t>Power / Energy Analyser</t>
        </is>
      </c>
      <c r="D13" s="6" t="n"/>
      <c r="E13" s="14" t="n"/>
      <c r="F13" s="17" t="n"/>
      <c r="G13" s="17" t="n"/>
      <c r="H13" s="6" t="inlineStr">
        <is>
          <t>AC output, PF, frequency</t>
        </is>
      </c>
    </row>
    <row r="14" ht="22" customHeight="1">
      <c r="B14" s="8" t="n">
        <v>7</v>
      </c>
      <c r="C14" s="9" t="inlineStr">
        <is>
          <t>Irradiance Meter</t>
        </is>
      </c>
      <c r="D14" s="6" t="n"/>
      <c r="E14" s="14" t="n"/>
      <c r="F14" s="17" t="n"/>
      <c r="G14" s="17" t="n"/>
      <c r="H14" s="6" t="inlineStr">
        <is>
          <t>Irradiance during on-load tests</t>
        </is>
      </c>
    </row>
    <row r="15" ht="22" customHeight="1">
      <c r="B15" s="8" t="n">
        <v>8</v>
      </c>
      <c r="C15" s="9" t="inlineStr">
        <is>
          <t>Other</t>
        </is>
      </c>
      <c r="D15" s="6" t="n"/>
      <c r="E15" s="14" t="n"/>
      <c r="F15" s="17" t="n"/>
      <c r="G15" s="17" t="n"/>
      <c r="H15" s="6" t="n"/>
    </row>
    <row r="17">
      <c r="B17" s="4" t="inlineStr">
        <is>
          <t>ACCEPTANCE LIMITS  —  defaults, edit to match your company / utility standard</t>
        </is>
      </c>
      <c r="C17" s="4" t="n"/>
      <c r="D17" s="4" t="n"/>
      <c r="E17" s="4" t="n"/>
      <c r="F17" s="4" t="n"/>
      <c r="G17" s="4" t="n"/>
      <c r="H17" s="4" t="n"/>
    </row>
    <row r="18" ht="24" customHeight="1">
      <c r="B18" s="13" t="inlineStr">
        <is>
          <t>No.</t>
        </is>
      </c>
      <c r="C18" s="13" t="inlineStr">
        <is>
          <t>Parameter</t>
        </is>
      </c>
      <c r="D18" s="13" t="inlineStr">
        <is>
          <t>Value</t>
        </is>
      </c>
      <c r="E18" s="13" t="inlineStr">
        <is>
          <t>Unit</t>
        </is>
      </c>
      <c r="F18" s="13" t="inlineStr">
        <is>
          <t>Used in</t>
        </is>
      </c>
      <c r="G18" s="13" t="n"/>
      <c r="H18" s="13" t="n"/>
    </row>
    <row r="19" ht="22" customHeight="1">
      <c r="B19" s="8" t="n">
        <v>1</v>
      </c>
      <c r="C19" s="9" t="inlineStr">
        <is>
          <t>DC insulation resistance — minimum</t>
        </is>
      </c>
      <c r="D19" s="14" t="n">
        <v>1</v>
      </c>
      <c r="E19" s="8" t="inlineStr">
        <is>
          <t>MΩ</t>
        </is>
      </c>
      <c r="F19" s="9" t="inlineStr">
        <is>
          <t>DC String Tests</t>
        </is>
      </c>
      <c r="G19" s="9" t="n"/>
      <c r="H19" s="9" t="n"/>
    </row>
    <row r="20" ht="22" customHeight="1">
      <c r="B20" s="8" t="n">
        <v>2</v>
      </c>
      <c r="C20" s="9" t="inlineStr">
        <is>
          <t>AC insulation resistance — minimum</t>
        </is>
      </c>
      <c r="D20" s="14" t="n">
        <v>1</v>
      </c>
      <c r="E20" s="8" t="inlineStr">
        <is>
          <t>MΩ</t>
        </is>
      </c>
      <c r="F20" s="9" t="inlineStr">
        <is>
          <t>AC Insulation and Earthing</t>
        </is>
      </c>
      <c r="G20" s="9" t="n"/>
      <c r="H20" s="9" t="n"/>
    </row>
    <row r="21" ht="22" customHeight="1">
      <c r="B21" s="8" t="n">
        <v>3</v>
      </c>
      <c r="C21" s="9" t="inlineStr">
        <is>
          <t>String Voc deviation within same MPPT / module count — maximum</t>
        </is>
      </c>
      <c r="D21" s="18" t="n">
        <v>0.05</v>
      </c>
      <c r="E21" s="8" t="inlineStr">
        <is>
          <t>%</t>
        </is>
      </c>
      <c r="F21" s="9" t="inlineStr">
        <is>
          <t>DC String Tests</t>
        </is>
      </c>
      <c r="G21" s="9" t="n"/>
      <c r="H21" s="9" t="n"/>
    </row>
    <row r="22" ht="22" customHeight="1">
      <c r="B22" s="8" t="n">
        <v>4</v>
      </c>
      <c r="C22" s="9" t="inlineStr">
        <is>
          <t>Earth resistance — maximum</t>
        </is>
      </c>
      <c r="D22" s="14" t="n">
        <v>5</v>
      </c>
      <c r="E22" s="8" t="inlineStr">
        <is>
          <t>Ω</t>
        </is>
      </c>
      <c r="F22" s="9" t="inlineStr">
        <is>
          <t>AC Insulation and Earthing</t>
        </is>
      </c>
      <c r="G22" s="9" t="n"/>
      <c r="H22" s="9" t="n"/>
    </row>
    <row r="23" ht="22" customHeight="1">
      <c r="B23" s="8" t="n">
        <v>5</v>
      </c>
      <c r="C23" s="9" t="inlineStr">
        <is>
          <t>Nominal phase voltage (L–N)</t>
        </is>
      </c>
      <c r="D23" s="14" t="n">
        <v>230</v>
      </c>
      <c r="E23" s="8" t="inlineStr">
        <is>
          <t>V</t>
        </is>
      </c>
      <c r="F23" s="9" t="inlineStr">
        <is>
          <t>AC Output</t>
        </is>
      </c>
      <c r="G23" s="9" t="n"/>
      <c r="H23" s="9" t="n"/>
    </row>
    <row r="24" ht="22" customHeight="1">
      <c r="B24" s="8" t="n">
        <v>6</v>
      </c>
      <c r="C24" s="9" t="inlineStr">
        <is>
          <t>Voltage tolerance (±)</t>
        </is>
      </c>
      <c r="D24" s="18" t="n">
        <v>0.1</v>
      </c>
      <c r="E24" s="8" t="inlineStr">
        <is>
          <t>%</t>
        </is>
      </c>
      <c r="F24" s="9" t="inlineStr">
        <is>
          <t>AC Output</t>
        </is>
      </c>
      <c r="G24" s="9" t="n"/>
      <c r="H24" s="9" t="n"/>
    </row>
    <row r="25" ht="22" customHeight="1">
      <c r="B25" s="8" t="n">
        <v>7</v>
      </c>
      <c r="C25" s="9" t="inlineStr">
        <is>
          <t>Nominal frequency</t>
        </is>
      </c>
      <c r="D25" s="14" t="n">
        <v>50</v>
      </c>
      <c r="E25" s="8" t="inlineStr">
        <is>
          <t>Hz</t>
        </is>
      </c>
      <c r="F25" s="9" t="inlineStr">
        <is>
          <t>AC Output</t>
        </is>
      </c>
      <c r="G25" s="9" t="n"/>
      <c r="H25" s="9" t="n"/>
    </row>
    <row r="26" ht="22" customHeight="1">
      <c r="B26" s="8" t="n">
        <v>8</v>
      </c>
      <c r="C26" s="9" t="inlineStr">
        <is>
          <t>Frequency tolerance (±)</t>
        </is>
      </c>
      <c r="D26" s="14" t="n">
        <v>1</v>
      </c>
      <c r="E26" s="8" t="inlineStr">
        <is>
          <t>Hz</t>
        </is>
      </c>
      <c r="F26" s="9" t="inlineStr">
        <is>
          <t>AC Output</t>
        </is>
      </c>
      <c r="G26" s="9" t="n"/>
      <c r="H26" s="9" t="n"/>
    </row>
    <row r="27" ht="22" customHeight="1">
      <c r="B27" s="8" t="n">
        <v>9</v>
      </c>
      <c r="C27" s="9" t="inlineStr">
        <is>
          <t>Thermal ΔT above ambient — maximum</t>
        </is>
      </c>
      <c r="D27" s="14" t="n">
        <v>20</v>
      </c>
      <c r="E27" s="8" t="inlineStr">
        <is>
          <t>°C</t>
        </is>
      </c>
      <c r="F27" s="9" t="inlineStr">
        <is>
          <t>Thermal Imaging</t>
        </is>
      </c>
      <c r="G27" s="9" t="n"/>
      <c r="H27" s="9" t="n"/>
    </row>
  </sheetData>
  <mergeCells count="14">
    <mergeCell ref="F20:H20"/>
    <mergeCell ref="F23:H23"/>
    <mergeCell ref="B17:H17"/>
    <mergeCell ref="F19:H19"/>
    <mergeCell ref="F18:H18"/>
    <mergeCell ref="F22:H22"/>
    <mergeCell ref="B4:H4"/>
    <mergeCell ref="F27:H27"/>
    <mergeCell ref="B6:H6"/>
    <mergeCell ref="F26:H26"/>
    <mergeCell ref="B2:H3"/>
    <mergeCell ref="F21:H21"/>
    <mergeCell ref="F24:H24"/>
    <mergeCell ref="F25:H25"/>
  </mergeCells>
  <printOptions horizontalCentered="1"/>
  <pageMargins left="0.4" right="0.4" top="0.6" bottom="0.7" header="0.25" footer="0.3"/>
  <pageSetup orientation="landscape" paperSize="9" fitToHeight="0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0E7C7B"/>
    <outlinePr summaryBelow="1" summaryRight="1"/>
    <pageSetUpPr fitToPage="1"/>
  </sheetPr>
  <dimension ref="B2:E4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6" customWidth="1" min="2" max="2"/>
    <col width="58" customWidth="1" min="3" max="3"/>
    <col width="14" customWidth="1" min="4" max="4"/>
    <col width="38" customWidth="1" min="5" max="5"/>
  </cols>
  <sheetData>
    <row r="2">
      <c r="B2" s="19" t="inlineStr">
        <is>
          <t>VISUAL &amp; MECHANICAL INSPECTION CHECKLIST</t>
        </is>
      </c>
      <c r="C2" s="2" t="n"/>
      <c r="D2" s="2" t="n"/>
      <c r="E2" s="2" t="n"/>
    </row>
    <row r="3">
      <c r="B3" s="2" t="n"/>
      <c r="C3" s="2" t="n"/>
      <c r="D3" s="2" t="n"/>
      <c r="E3" s="2" t="n"/>
    </row>
    <row r="4" ht="16" customHeight="1">
      <c r="B4" s="3">
        <f>"Project: "&amp;IF(Cover!$C$7="","(enter on Cover sheet)",Cover!$C$7)&amp;"     |     Regen Renewables (Pvt) Ltd."</f>
        <v/>
      </c>
    </row>
    <row r="5" ht="6" customHeight="1"/>
    <row r="6" ht="26" customHeight="1">
      <c r="B6" s="13" t="inlineStr">
        <is>
          <t>No.</t>
        </is>
      </c>
      <c r="C6" s="13" t="inlineStr">
        <is>
          <t>Inspection Item</t>
        </is>
      </c>
      <c r="D6" s="13" t="inlineStr">
        <is>
          <t>Status</t>
        </is>
      </c>
      <c r="E6" s="13" t="inlineStr">
        <is>
          <t>Remarks</t>
        </is>
      </c>
    </row>
    <row r="7" ht="20" customHeight="1">
      <c r="B7" s="4" t="inlineStr">
        <is>
          <t>A.  PV Modules &amp; Mounting Structure</t>
        </is>
      </c>
      <c r="C7" s="4" t="n"/>
      <c r="D7" s="4" t="n"/>
      <c r="E7" s="4" t="n"/>
    </row>
    <row r="8" ht="22" customHeight="1">
      <c r="B8" s="8" t="n">
        <v>1</v>
      </c>
      <c r="C8" s="9" t="inlineStr">
        <is>
          <t>Modules free of physical damage (cracks, hot spots, delamination)</t>
        </is>
      </c>
      <c r="D8" s="14" t="n"/>
      <c r="E8" s="6" t="n"/>
    </row>
    <row r="9" ht="22" customHeight="1">
      <c r="B9" s="8" t="n">
        <v>2</v>
      </c>
      <c r="C9" s="9" t="inlineStr">
        <is>
          <t>Modules clean and free of shading obstructions</t>
        </is>
      </c>
      <c r="D9" s="14" t="n"/>
      <c r="E9" s="6" t="n"/>
    </row>
    <row r="10" ht="22" customHeight="1">
      <c r="B10" s="8" t="n">
        <v>3</v>
      </c>
      <c r="C10" s="9" t="inlineStr">
        <is>
          <t>Mounting structure secure, level and correctly torqued</t>
        </is>
      </c>
      <c r="D10" s="14" t="n"/>
      <c r="E10" s="6" t="n"/>
    </row>
    <row r="11" ht="22" customHeight="1">
      <c r="B11" s="8" t="n">
        <v>4</v>
      </c>
      <c r="C11" s="9" t="inlineStr">
        <is>
          <t>Module clamps / bolts torqued to spec, no loose fixings</t>
        </is>
      </c>
      <c r="D11" s="14" t="n"/>
      <c r="E11" s="6" t="n"/>
    </row>
    <row r="12" ht="22" customHeight="1">
      <c r="B12" s="8" t="n">
        <v>5</v>
      </c>
      <c r="C12" s="9" t="inlineStr">
        <is>
          <t>Structure and module frames bonded to earthing system</t>
        </is>
      </c>
      <c r="D12" s="14" t="n"/>
      <c r="E12" s="6" t="n"/>
    </row>
    <row r="13" ht="20" customHeight="1">
      <c r="B13" s="4" t="inlineStr">
        <is>
          <t>B.  DC Cabling</t>
        </is>
      </c>
      <c r="C13" s="4" t="n"/>
      <c r="D13" s="4" t="n"/>
      <c r="E13" s="4" t="n"/>
    </row>
    <row r="14" ht="22" customHeight="1">
      <c r="B14" s="8" t="n">
        <v>6</v>
      </c>
      <c r="C14" s="9" t="inlineStr">
        <is>
          <t>DC cables routed and dressed neatly, no sharp bends</t>
        </is>
      </c>
      <c r="D14" s="14" t="n"/>
      <c r="E14" s="6" t="n"/>
    </row>
    <row r="15" ht="22" customHeight="1">
      <c r="B15" s="8" t="n">
        <v>7</v>
      </c>
      <c r="C15" s="9" t="inlineStr">
        <is>
          <t>Cables secured with UV-rated cable ties / clips</t>
        </is>
      </c>
      <c r="D15" s="14" t="n"/>
      <c r="E15" s="6" t="n"/>
    </row>
    <row r="16" ht="22" customHeight="1">
      <c r="B16" s="8" t="n">
        <v>8</v>
      </c>
      <c r="C16" s="9" t="inlineStr">
        <is>
          <t>MC4 (or equivalent) connectors fully locked, no exposed conductor</t>
        </is>
      </c>
      <c r="D16" s="14" t="n"/>
      <c r="E16" s="6" t="n"/>
    </row>
    <row r="17" ht="22" customHeight="1">
      <c r="B17" s="8" t="n">
        <v>9</v>
      </c>
      <c r="C17" s="9" t="inlineStr">
        <is>
          <t>String / cable labelling complete and legible</t>
        </is>
      </c>
      <c r="D17" s="14" t="n"/>
      <c r="E17" s="6" t="n"/>
    </row>
    <row r="18" ht="22" customHeight="1">
      <c r="B18" s="8" t="n">
        <v>10</v>
      </c>
      <c r="C18" s="9" t="inlineStr">
        <is>
          <t>Cable entry points and conduits sealed (IP rated)</t>
        </is>
      </c>
      <c r="D18" s="14" t="n"/>
      <c r="E18" s="6" t="n"/>
    </row>
    <row r="19" ht="20" customHeight="1">
      <c r="B19" s="4" t="inlineStr">
        <is>
          <t>C.  Inverter &amp; DC Protection</t>
        </is>
      </c>
      <c r="C19" s="4" t="n"/>
      <c r="D19" s="4" t="n"/>
      <c r="E19" s="4" t="n"/>
    </row>
    <row r="20" ht="22" customHeight="1">
      <c r="B20" s="8" t="n">
        <v>11</v>
      </c>
      <c r="C20" s="9" t="inlineStr">
        <is>
          <t>Inverter securely mounted, correct orientation and clearance</t>
        </is>
      </c>
      <c r="D20" s="14" t="n"/>
      <c r="E20" s="6" t="n"/>
    </row>
    <row r="21" ht="22" customHeight="1">
      <c r="B21" s="8" t="n">
        <v>12</v>
      </c>
      <c r="C21" s="9" t="inlineStr">
        <is>
          <t>Ventilation / cooling clearance around inverter as per manual</t>
        </is>
      </c>
      <c r="D21" s="14" t="n"/>
      <c r="E21" s="6" t="n"/>
    </row>
    <row r="22" ht="22" customHeight="1">
      <c r="B22" s="8" t="n">
        <v>13</v>
      </c>
      <c r="C22" s="9" t="inlineStr">
        <is>
          <t>Cable glands sealed, unused entries blanked off</t>
        </is>
      </c>
      <c r="D22" s="14" t="n"/>
      <c r="E22" s="6" t="n"/>
    </row>
    <row r="23" ht="22" customHeight="1">
      <c r="B23" s="8" t="n">
        <v>14</v>
      </c>
      <c r="C23" s="9" t="inlineStr">
        <is>
          <t>DC surge protection device (SPD) fitted and indicator normal</t>
        </is>
      </c>
      <c r="D23" s="14" t="n"/>
      <c r="E23" s="6" t="n"/>
    </row>
    <row r="24" ht="22" customHeight="1">
      <c r="B24" s="8" t="n">
        <v>15</v>
      </c>
      <c r="C24" s="9" t="inlineStr">
        <is>
          <t>DC isolator / switch labelled and operates freely</t>
        </is>
      </c>
      <c r="D24" s="14" t="n"/>
      <c r="E24" s="6" t="n"/>
    </row>
    <row r="25" ht="22" customHeight="1">
      <c r="B25" s="8" t="n">
        <v>16</v>
      </c>
      <c r="C25" s="9" t="inlineStr">
        <is>
          <t>Inverter display / status LEDs functioning normally</t>
        </is>
      </c>
      <c r="D25" s="14" t="n"/>
      <c r="E25" s="6" t="n"/>
    </row>
    <row r="26" ht="20" customHeight="1">
      <c r="B26" s="4" t="inlineStr">
        <is>
          <t>D.  AC Side &amp; Main Panel</t>
        </is>
      </c>
      <c r="C26" s="4" t="n"/>
      <c r="D26" s="4" t="n"/>
      <c r="E26" s="4" t="n"/>
    </row>
    <row r="27" ht="22" customHeight="1">
      <c r="B27" s="8" t="n">
        <v>17</v>
      </c>
      <c r="C27" s="9" t="inlineStr">
        <is>
          <t>AC cable terminations tight and correctly torqued</t>
        </is>
      </c>
      <c r="D27" s="14" t="n"/>
      <c r="E27" s="6" t="n"/>
    </row>
    <row r="28" ht="22" customHeight="1">
      <c r="B28" s="8" t="n">
        <v>18</v>
      </c>
      <c r="C28" s="9" t="inlineStr">
        <is>
          <t>AC circuit breaker rating matches design / datasheet</t>
        </is>
      </c>
      <c r="D28" s="14" t="n"/>
      <c r="E28" s="6" t="n"/>
    </row>
    <row r="29" ht="22" customHeight="1">
      <c r="B29" s="8" t="n">
        <v>19</v>
      </c>
      <c r="C29" s="9" t="inlineStr">
        <is>
          <t>AC isolator accessible and labelled</t>
        </is>
      </c>
      <c r="D29" s="14" t="n"/>
      <c r="E29" s="6" t="n"/>
    </row>
    <row r="30" ht="22" customHeight="1">
      <c r="B30" s="8" t="n">
        <v>20</v>
      </c>
      <c r="C30" s="9" t="inlineStr">
        <is>
          <t>AC cable and circuit labelling complete</t>
        </is>
      </c>
      <c r="D30" s="14" t="n"/>
      <c r="E30" s="6" t="n"/>
    </row>
    <row r="31" ht="22" customHeight="1">
      <c r="B31" s="8" t="n">
        <v>21</v>
      </c>
      <c r="C31" s="9" t="inlineStr">
        <is>
          <t>Energy meter / CT connections correct and secure</t>
        </is>
      </c>
      <c r="D31" s="14" t="n"/>
      <c r="E31" s="6" t="n"/>
    </row>
    <row r="32" ht="20" customHeight="1">
      <c r="B32" s="4" t="inlineStr">
        <is>
          <t>E.  Earthing &amp; Lightning Protection</t>
        </is>
      </c>
      <c r="C32" s="4" t="n"/>
      <c r="D32" s="4" t="n"/>
      <c r="E32" s="4" t="n"/>
    </row>
    <row r="33" ht="22" customHeight="1">
      <c r="B33" s="8" t="n">
        <v>22</v>
      </c>
      <c r="C33" s="9" t="inlineStr">
        <is>
          <t>Earth pit(s) installed and accessible for testing</t>
        </is>
      </c>
      <c r="D33" s="14" t="n"/>
      <c r="E33" s="6" t="n"/>
    </row>
    <row r="34" ht="22" customHeight="1">
      <c r="B34" s="8" t="n">
        <v>23</v>
      </c>
      <c r="C34" s="9" t="inlineStr">
        <is>
          <t>Earth cable size / type as per design</t>
        </is>
      </c>
      <c r="D34" s="14" t="n"/>
      <c r="E34" s="6" t="n"/>
    </row>
    <row r="35" ht="22" customHeight="1">
      <c r="B35" s="8" t="n">
        <v>24</v>
      </c>
      <c r="C35" s="9" t="inlineStr">
        <is>
          <t>Equipotential bonding complete across all metallic parts</t>
        </is>
      </c>
      <c r="D35" s="14" t="n"/>
      <c r="E35" s="6" t="n"/>
    </row>
    <row r="36" ht="22" customHeight="1">
      <c r="B36" s="8" t="n">
        <v>25</v>
      </c>
      <c r="C36" s="9" t="inlineStr">
        <is>
          <t>Lightning / surge protection installed where specified</t>
        </is>
      </c>
      <c r="D36" s="14" t="n"/>
      <c r="E36" s="6" t="n"/>
    </row>
    <row r="37" ht="20" customHeight="1">
      <c r="B37" s="4" t="inlineStr">
        <is>
          <t>F.  Safety &amp; Signage</t>
        </is>
      </c>
      <c r="C37" s="4" t="n"/>
      <c r="D37" s="4" t="n"/>
      <c r="E37" s="4" t="n"/>
    </row>
    <row r="38" ht="22" customHeight="1">
      <c r="B38" s="8" t="n">
        <v>26</v>
      </c>
      <c r="C38" s="9" t="inlineStr">
        <is>
          <t>Danger / warning labels posted at DC &amp; AC points</t>
        </is>
      </c>
      <c r="D38" s="14" t="n"/>
      <c r="E38" s="6" t="n"/>
    </row>
    <row r="39" ht="22" customHeight="1">
      <c r="B39" s="8" t="n">
        <v>27</v>
      </c>
      <c r="C39" s="9" t="inlineStr">
        <is>
          <t>Single line diagram (SLD) posted at site / inverter room</t>
        </is>
      </c>
      <c r="D39" s="14" t="n"/>
      <c r="E39" s="6" t="n"/>
    </row>
    <row r="40" ht="22" customHeight="1">
      <c r="B40" s="8" t="n">
        <v>28</v>
      </c>
      <c r="C40" s="9" t="inlineStr">
        <is>
          <t>Fire extinguisher (CO2 / DCP, rated for electrical) available</t>
        </is>
      </c>
      <c r="D40" s="14" t="n"/>
      <c r="E40" s="6" t="n"/>
    </row>
    <row r="41" ht="22" customHeight="1">
      <c r="B41" s="8" t="n">
        <v>29</v>
      </c>
      <c r="C41" s="9" t="inlineStr">
        <is>
          <t>PPE available for O&amp;M personnel</t>
        </is>
      </c>
      <c r="D41" s="14" t="n"/>
      <c r="E41" s="6" t="n"/>
    </row>
    <row r="42" ht="22" customHeight="1">
      <c r="B42" s="8" t="n">
        <v>30</v>
      </c>
      <c r="C42" s="9" t="inlineStr">
        <is>
          <t>Emergency shutdown procedure posted</t>
        </is>
      </c>
      <c r="D42" s="14" t="n"/>
      <c r="E42" s="6" t="n"/>
    </row>
    <row r="44">
      <c r="B44" s="5" t="inlineStr">
        <is>
          <t>Inspected By</t>
        </is>
      </c>
      <c r="C44" s="5" t="n"/>
      <c r="D44" s="6" t="n"/>
      <c r="E44" s="6" t="n"/>
    </row>
    <row r="45">
      <c r="B45" s="5" t="inlineStr">
        <is>
          <t>Date</t>
        </is>
      </c>
      <c r="C45" s="5" t="n"/>
      <c r="D45" s="20" t="n"/>
      <c r="E45" s="6" t="n"/>
    </row>
  </sheetData>
  <mergeCells count="12">
    <mergeCell ref="B26:E26"/>
    <mergeCell ref="B44:C44"/>
    <mergeCell ref="B4:E4"/>
    <mergeCell ref="B13:E13"/>
    <mergeCell ref="B45:C45"/>
    <mergeCell ref="B7:E7"/>
    <mergeCell ref="B19:E19"/>
    <mergeCell ref="B37:E37"/>
    <mergeCell ref="B2:E3"/>
    <mergeCell ref="D44:E44"/>
    <mergeCell ref="D45:E45"/>
    <mergeCell ref="B32:E32"/>
  </mergeCells>
  <conditionalFormatting sqref="D7:D4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"Incomplete"</formula>
    </cfRule>
    <cfRule type="cellIs" priority="4" operator="equal" dxfId="2">
      <formula>"IN PROGRESS"</formula>
    </cfRule>
    <cfRule type="cellIs" priority="5" operator="equal" dxfId="2">
      <formula>"INCOMPLETE"</formula>
    </cfRule>
    <cfRule type="cellIs" priority="6" operator="equal" dxfId="3">
      <formula>"N/A"</formula>
    </cfRule>
  </conditionalFormatting>
  <dataValidations count="1">
    <dataValidation sqref="D7:D42" showDropDown="0" showInputMessage="0" showErrorMessage="0" allowBlank="1" type="list">
      <formula1>"Pass,Fail,N/A"</formula1>
    </dataValidation>
  </dataValidations>
  <printOptions horizontalCentered="1"/>
  <pageMargins left="0.4" right="0.4" top="0.6" bottom="0.7" header="0.25" footer="0.3"/>
  <pageSetup orientation="portrait" paperSize="9" fitToHeight="0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2:O2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5" customWidth="1" min="2" max="2"/>
    <col width="17" customWidth="1" min="3" max="3"/>
    <col width="13" customWidth="1" min="4" max="4"/>
    <col width="15" customWidth="1" min="5" max="5"/>
    <col width="15" customWidth="1" min="6" max="6"/>
    <col width="10" customWidth="1" min="7" max="7"/>
    <col width="9" customWidth="1" min="8" max="8"/>
    <col width="14" customWidth="1" min="9" max="9"/>
    <col width="9" customWidth="1" min="10" max="10"/>
    <col width="11" customWidth="1" min="11" max="11"/>
    <col width="15" customWidth="1" min="12" max="12"/>
    <col width="10" customWidth="1" min="13" max="13"/>
    <col width="11" customWidth="1" min="14" max="14"/>
    <col width="22" customWidth="1" min="15" max="15"/>
  </cols>
  <sheetData>
    <row r="2">
      <c r="B2" s="10" t="inlineStr">
        <is>
          <t>INVERTER REGISTER &amp; MAIN PANEL DETAILS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 ht="16" customHeight="1">
      <c r="B4" s="3">
        <f>"Project: "&amp;IF(Cover!$C$7="","(enter on Cover sheet)",Cover!$C$7)&amp;"     |     Regen Renewables (Pvt) Ltd."</f>
        <v/>
      </c>
    </row>
    <row r="5" ht="6" customHeight="1"/>
    <row r="6">
      <c r="B6" s="4" t="inlineStr">
        <is>
          <t>INVERTER REGISTER  —  one row per inverter (strings / PV modules per inverter are totalled on each DC String Test sheet)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 ht="44" customHeight="1">
      <c r="B7" s="13" t="inlineStr">
        <is>
          <t>No.</t>
        </is>
      </c>
      <c r="C7" s="13" t="inlineStr">
        <is>
          <t>Location / Room</t>
        </is>
      </c>
      <c r="D7" s="13" t="inlineStr">
        <is>
          <t>Make</t>
        </is>
      </c>
      <c r="E7" s="13" t="inlineStr">
        <is>
          <t>Model</t>
        </is>
      </c>
      <c r="F7" s="13" t="inlineStr">
        <is>
          <t>Serial No.</t>
        </is>
      </c>
      <c r="G7" s="13" t="inlineStr">
        <is>
          <t>Rated Power (kW)</t>
        </is>
      </c>
      <c r="H7" s="13" t="inlineStr">
        <is>
          <t>DC SPD (Y/N)</t>
        </is>
      </c>
      <c r="I7" s="13" t="inlineStr">
        <is>
          <t>DC SPD Model</t>
        </is>
      </c>
      <c r="J7" s="13" t="inlineStr">
        <is>
          <t>DC Isolator Qty</t>
        </is>
      </c>
      <c r="K7" s="13" t="inlineStr">
        <is>
          <t>DC Isolator Rating</t>
        </is>
      </c>
      <c r="L7" s="13" t="inlineStr">
        <is>
          <t>DC Cable (size / type)</t>
        </is>
      </c>
      <c r="M7" s="13" t="inlineStr">
        <is>
          <t>AC Isolator (Y/N)</t>
        </is>
      </c>
      <c r="N7" s="13" t="inlineStr">
        <is>
          <t>AC Isolator Rating</t>
        </is>
      </c>
      <c r="O7" s="13" t="inlineStr">
        <is>
          <t>Remarks</t>
        </is>
      </c>
    </row>
    <row r="8" ht="22" customHeight="1">
      <c r="B8" s="8" t="n">
        <v>1</v>
      </c>
      <c r="C8" s="6" t="n"/>
      <c r="D8" s="6" t="n"/>
      <c r="E8" s="6" t="n"/>
      <c r="F8" s="6" t="n"/>
      <c r="G8" s="14" t="n"/>
      <c r="H8" s="14" t="n"/>
      <c r="I8" s="6" t="n"/>
      <c r="J8" s="14" t="n"/>
      <c r="K8" s="14" t="n"/>
      <c r="L8" s="6" t="n"/>
      <c r="M8" s="14" t="n"/>
      <c r="N8" s="14" t="n"/>
      <c r="O8" s="6" t="n"/>
    </row>
    <row r="9" ht="22" customHeight="1">
      <c r="B9" s="8" t="n">
        <v>2</v>
      </c>
      <c r="C9" s="6" t="n"/>
      <c r="D9" s="6" t="n"/>
      <c r="E9" s="6" t="n"/>
      <c r="F9" s="6" t="n"/>
      <c r="G9" s="14" t="n"/>
      <c r="H9" s="14" t="n"/>
      <c r="I9" s="6" t="n"/>
      <c r="J9" s="14" t="n"/>
      <c r="K9" s="14" t="n"/>
      <c r="L9" s="6" t="n"/>
      <c r="M9" s="14" t="n"/>
      <c r="N9" s="14" t="n"/>
      <c r="O9" s="6" t="n"/>
    </row>
    <row r="10" ht="22" customHeight="1">
      <c r="B10" s="8" t="n">
        <v>3</v>
      </c>
      <c r="C10" s="6" t="n"/>
      <c r="D10" s="6" t="n"/>
      <c r="E10" s="6" t="n"/>
      <c r="F10" s="6" t="n"/>
      <c r="G10" s="14" t="n"/>
      <c r="H10" s="14" t="n"/>
      <c r="I10" s="6" t="n"/>
      <c r="J10" s="14" t="n"/>
      <c r="K10" s="14" t="n"/>
      <c r="L10" s="6" t="n"/>
      <c r="M10" s="14" t="n"/>
      <c r="N10" s="14" t="n"/>
      <c r="O10" s="6" t="n"/>
    </row>
    <row r="11" ht="22" customHeight="1">
      <c r="B11" s="8" t="n">
        <v>4</v>
      </c>
      <c r="C11" s="6" t="n"/>
      <c r="D11" s="6" t="n"/>
      <c r="E11" s="6" t="n"/>
      <c r="F11" s="6" t="n"/>
      <c r="G11" s="14" t="n"/>
      <c r="H11" s="14" t="n"/>
      <c r="I11" s="6" t="n"/>
      <c r="J11" s="14" t="n"/>
      <c r="K11" s="14" t="n"/>
      <c r="L11" s="6" t="n"/>
      <c r="M11" s="14" t="n"/>
      <c r="N11" s="14" t="n"/>
      <c r="O11" s="6" t="n"/>
    </row>
    <row r="12" ht="22" customHeight="1">
      <c r="B12" s="8" t="n">
        <v>5</v>
      </c>
      <c r="C12" s="6" t="n"/>
      <c r="D12" s="6" t="n"/>
      <c r="E12" s="6" t="n"/>
      <c r="F12" s="6" t="n"/>
      <c r="G12" s="14" t="n"/>
      <c r="H12" s="14" t="n"/>
      <c r="I12" s="6" t="n"/>
      <c r="J12" s="14" t="n"/>
      <c r="K12" s="14" t="n"/>
      <c r="L12" s="6" t="n"/>
      <c r="M12" s="14" t="n"/>
      <c r="N12" s="14" t="n"/>
      <c r="O12" s="6" t="n"/>
    </row>
    <row r="13" ht="22" customHeight="1">
      <c r="B13" s="8" t="n">
        <v>6</v>
      </c>
      <c r="C13" s="6" t="n"/>
      <c r="D13" s="6" t="n"/>
      <c r="E13" s="6" t="n"/>
      <c r="F13" s="6" t="n"/>
      <c r="G13" s="14" t="n"/>
      <c r="H13" s="14" t="n"/>
      <c r="I13" s="6" t="n"/>
      <c r="J13" s="14" t="n"/>
      <c r="K13" s="14" t="n"/>
      <c r="L13" s="6" t="n"/>
      <c r="M13" s="14" t="n"/>
      <c r="N13" s="14" t="n"/>
      <c r="O13" s="6" t="n"/>
    </row>
    <row r="14" ht="22" customHeight="1">
      <c r="B14" s="8" t="n">
        <v>7</v>
      </c>
      <c r="C14" s="6" t="n"/>
      <c r="D14" s="6" t="n"/>
      <c r="E14" s="6" t="n"/>
      <c r="F14" s="6" t="n"/>
      <c r="G14" s="14" t="n"/>
      <c r="H14" s="14" t="n"/>
      <c r="I14" s="6" t="n"/>
      <c r="J14" s="14" t="n"/>
      <c r="K14" s="14" t="n"/>
      <c r="L14" s="6" t="n"/>
      <c r="M14" s="14" t="n"/>
      <c r="N14" s="14" t="n"/>
      <c r="O14" s="6" t="n"/>
    </row>
    <row r="15" ht="22" customHeight="1">
      <c r="B15" s="8" t="n">
        <v>8</v>
      </c>
      <c r="C15" s="6" t="n"/>
      <c r="D15" s="6" t="n"/>
      <c r="E15" s="6" t="n"/>
      <c r="F15" s="6" t="n"/>
      <c r="G15" s="14" t="n"/>
      <c r="H15" s="14" t="n"/>
      <c r="I15" s="6" t="n"/>
      <c r="J15" s="14" t="n"/>
      <c r="K15" s="14" t="n"/>
      <c r="L15" s="6" t="n"/>
      <c r="M15" s="14" t="n"/>
      <c r="N15" s="14" t="n"/>
      <c r="O15" s="6" t="n"/>
    </row>
    <row r="16" ht="22" customHeight="1">
      <c r="B16" s="8" t="n">
        <v>9</v>
      </c>
      <c r="C16" s="6" t="n"/>
      <c r="D16" s="6" t="n"/>
      <c r="E16" s="6" t="n"/>
      <c r="F16" s="6" t="n"/>
      <c r="G16" s="14" t="n"/>
      <c r="H16" s="14" t="n"/>
      <c r="I16" s="6" t="n"/>
      <c r="J16" s="14" t="n"/>
      <c r="K16" s="14" t="n"/>
      <c r="L16" s="6" t="n"/>
      <c r="M16" s="14" t="n"/>
      <c r="N16" s="14" t="n"/>
      <c r="O16" s="6" t="n"/>
    </row>
    <row r="17" ht="22" customHeight="1">
      <c r="B17" s="8" t="n">
        <v>10</v>
      </c>
      <c r="C17" s="6" t="n"/>
      <c r="D17" s="6" t="n"/>
      <c r="E17" s="6" t="n"/>
      <c r="F17" s="6" t="n"/>
      <c r="G17" s="14" t="n"/>
      <c r="H17" s="14" t="n"/>
      <c r="I17" s="6" t="n"/>
      <c r="J17" s="14" t="n"/>
      <c r="K17" s="14" t="n"/>
      <c r="L17" s="6" t="n"/>
      <c r="M17" s="14" t="n"/>
      <c r="N17" s="14" t="n"/>
      <c r="O17" s="6" t="n"/>
    </row>
    <row r="19">
      <c r="B19" s="4" t="inlineStr">
        <is>
          <t>MAIN ELECTRICAL PANEL &amp; CABLE DETAILS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 ht="30" customHeight="1">
      <c r="B20" s="5" t="inlineStr">
        <is>
          <t>Main panel location</t>
        </is>
      </c>
      <c r="C20" s="5" t="n"/>
      <c r="D20" s="5" t="n"/>
      <c r="E20" s="6" t="n"/>
      <c r="F20" s="6" t="n"/>
      <c r="G20" s="6" t="n"/>
      <c r="H20" s="5" t="inlineStr">
        <is>
          <t>Energy meter serial no.</t>
        </is>
      </c>
      <c r="I20" s="5" t="n"/>
      <c r="J20" s="5" t="n"/>
      <c r="K20" s="5" t="n"/>
      <c r="L20" s="6" t="n"/>
      <c r="M20" s="6" t="n"/>
      <c r="N20" s="6" t="n"/>
      <c r="O20" s="6" t="n"/>
    </row>
    <row r="21" ht="30" customHeight="1">
      <c r="B21" s="5" t="inlineStr">
        <is>
          <t>Main breaker make / model</t>
        </is>
      </c>
      <c r="C21" s="5" t="n"/>
      <c r="D21" s="5" t="n"/>
      <c r="E21" s="6" t="n"/>
      <c r="F21" s="6" t="n"/>
      <c r="G21" s="6" t="n"/>
      <c r="H21" s="5" t="inlineStr">
        <is>
          <t>CT ratio (if used)</t>
        </is>
      </c>
      <c r="I21" s="5" t="n"/>
      <c r="J21" s="5" t="n"/>
      <c r="K21" s="5" t="n"/>
      <c r="L21" s="6" t="n"/>
      <c r="M21" s="6" t="n"/>
      <c r="N21" s="6" t="n"/>
      <c r="O21" s="6" t="n"/>
    </row>
    <row r="22" ht="30" customHeight="1">
      <c r="B22" s="5" t="inlineStr">
        <is>
          <t>Main breaker rating (A)</t>
        </is>
      </c>
      <c r="C22" s="5" t="n"/>
      <c r="D22" s="5" t="n"/>
      <c r="E22" s="6" t="n"/>
      <c r="F22" s="6" t="n"/>
      <c r="G22" s="6" t="n"/>
      <c r="H22" s="5" t="inlineStr">
        <is>
          <t>RCD / ELCB rating (mA)</t>
        </is>
      </c>
      <c r="I22" s="5" t="n"/>
      <c r="J22" s="5" t="n"/>
      <c r="K22" s="5" t="n"/>
      <c r="L22" s="6" t="n"/>
      <c r="M22" s="6" t="n"/>
      <c r="N22" s="6" t="n"/>
      <c r="O22" s="6" t="n"/>
    </row>
    <row r="23" ht="30" customHeight="1">
      <c r="B23" s="5" t="inlineStr">
        <is>
          <t>Enclosure IP rating</t>
        </is>
      </c>
      <c r="C23" s="5" t="n"/>
      <c r="D23" s="5" t="n"/>
      <c r="E23" s="6" t="n"/>
      <c r="F23" s="6" t="n"/>
      <c r="G23" s="6" t="n"/>
      <c r="H23" s="5" t="inlineStr">
        <is>
          <t>AC cable: inverter → panel (size / type / length)</t>
        </is>
      </c>
      <c r="I23" s="5" t="n"/>
      <c r="J23" s="5" t="n"/>
      <c r="K23" s="5" t="n"/>
      <c r="L23" s="6" t="n"/>
      <c r="M23" s="6" t="n"/>
      <c r="N23" s="6" t="n"/>
      <c r="O23" s="6" t="n"/>
    </row>
    <row r="24" ht="30" customHeight="1">
      <c r="B24" s="5" t="inlineStr">
        <is>
          <t>AC SPD fitted (Y/N)</t>
        </is>
      </c>
      <c r="C24" s="5" t="n"/>
      <c r="D24" s="5" t="n"/>
      <c r="E24" s="6" t="n"/>
      <c r="F24" s="6" t="n"/>
      <c r="G24" s="6" t="n"/>
      <c r="H24" s="5" t="inlineStr">
        <is>
          <t>AC cable: panel → utility (size / type / length)</t>
        </is>
      </c>
      <c r="I24" s="5" t="n"/>
      <c r="J24" s="5" t="n"/>
      <c r="K24" s="5" t="n"/>
      <c r="L24" s="6" t="n"/>
      <c r="M24" s="6" t="n"/>
      <c r="N24" s="6" t="n"/>
      <c r="O24" s="6" t="n"/>
    </row>
    <row r="25" ht="30" customHeight="1">
      <c r="B25" s="5" t="inlineStr">
        <is>
          <t>Energy meter make / model</t>
        </is>
      </c>
      <c r="C25" s="5" t="n"/>
      <c r="D25" s="5" t="n"/>
      <c r="E25" s="6" t="n"/>
      <c r="F25" s="6" t="n"/>
      <c r="G25" s="6" t="n"/>
      <c r="H25" s="5" t="inlineStr">
        <is>
          <t>Earth conductor size</t>
        </is>
      </c>
      <c r="I25" s="5" t="n"/>
      <c r="J25" s="5" t="n"/>
      <c r="K25" s="5" t="n"/>
      <c r="L25" s="6" t="n"/>
      <c r="M25" s="6" t="n"/>
      <c r="N25" s="6" t="n"/>
      <c r="O25" s="6" t="n"/>
    </row>
  </sheetData>
  <mergeCells count="28">
    <mergeCell ref="H22:K22"/>
    <mergeCell ref="B4:O4"/>
    <mergeCell ref="L22:O22"/>
    <mergeCell ref="B23:D23"/>
    <mergeCell ref="L21:O21"/>
    <mergeCell ref="H24:K24"/>
    <mergeCell ref="L25:O25"/>
    <mergeCell ref="H23:K23"/>
    <mergeCell ref="H20:K20"/>
    <mergeCell ref="B24:D24"/>
    <mergeCell ref="E25:G25"/>
    <mergeCell ref="B20:D20"/>
    <mergeCell ref="E22:G22"/>
    <mergeCell ref="H25:K25"/>
    <mergeCell ref="B19:O19"/>
    <mergeCell ref="H21:K21"/>
    <mergeCell ref="E21:G21"/>
    <mergeCell ref="L24:O24"/>
    <mergeCell ref="B25:D25"/>
    <mergeCell ref="L23:O23"/>
    <mergeCell ref="E24:G24"/>
    <mergeCell ref="B6:O6"/>
    <mergeCell ref="B22:D22"/>
    <mergeCell ref="E23:G23"/>
    <mergeCell ref="B2:O3"/>
    <mergeCell ref="L20:O20"/>
    <mergeCell ref="B21:D21"/>
    <mergeCell ref="E20:G20"/>
  </mergeCells>
  <dataValidations count="3">
    <dataValidation sqref="H8:H17" showDropDown="0" showInputMessage="0" showErrorMessage="0" allowBlank="1" type="list">
      <formula1>"Y,N"</formula1>
    </dataValidation>
    <dataValidation sqref="M8:M17" showDropDown="0" showInputMessage="0" showErrorMessage="0" allowBlank="1" type="list">
      <formula1>"Y,N"</formula1>
    </dataValidation>
    <dataValidation sqref="E24" showDropDown="0" showInputMessage="0" showErrorMessage="0" allowBlank="1" type="list">
      <formula1>"Y,N"</formula1>
    </dataValidation>
  </dataValidations>
  <printOptions horizontalCentered="1"/>
  <pageMargins left="0.4" right="0.4" top="0.6" bottom="0.7" header="0.25" footer="0.3"/>
  <pageSetup orientation="landscape" paperSize="9" fitToHeight="0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2:O5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5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0" customWidth="1" min="11" max="11"/>
    <col width="11" customWidth="1" min="12" max="12"/>
    <col width="11" customWidth="1" min="13" max="13"/>
    <col width="10" customWidth="1" min="14" max="14"/>
    <col width="26" customWidth="1" min="15" max="15"/>
  </cols>
  <sheetData>
    <row r="2">
      <c r="B2" s="10" t="inlineStr">
        <is>
          <t>DC STRING TEST — INV 01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 ht="16" customHeight="1">
      <c r="B4" s="3">
        <f>"Project: "&amp;IF(Cover!$C$7="","(enter on Cover sheet)",Cover!$C$7)&amp;"     |     Regen Renewables (Pvt) Ltd."</f>
        <v/>
      </c>
    </row>
    <row r="5" ht="6" customHeight="1"/>
    <row r="6">
      <c r="B6" s="4" t="inlineStr">
        <is>
          <t>INVERTER DETAILS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 ht="22" customHeight="1">
      <c r="B7" s="5" t="inlineStr">
        <is>
          <t>Inverter No.</t>
        </is>
      </c>
      <c r="C7" s="5" t="n"/>
      <c r="D7" s="5" t="n"/>
      <c r="E7" s="5" t="n"/>
      <c r="F7" s="6" t="inlineStr">
        <is>
          <t>INV 01</t>
        </is>
      </c>
      <c r="G7" s="6" t="n"/>
      <c r="H7" s="6" t="n"/>
      <c r="I7" s="5" t="inlineStr">
        <is>
          <t>Inverter Location / Room</t>
        </is>
      </c>
      <c r="J7" s="5" t="n"/>
      <c r="K7" s="5" t="n"/>
      <c r="L7" s="6" t="n"/>
      <c r="M7" s="6" t="n"/>
      <c r="N7" s="6" t="n"/>
      <c r="O7" s="6" t="n"/>
    </row>
    <row r="8" ht="22" customHeight="1">
      <c r="B8" s="5" t="inlineStr">
        <is>
          <t>Make / Model</t>
        </is>
      </c>
      <c r="C8" s="5" t="n"/>
      <c r="D8" s="5" t="n"/>
      <c r="E8" s="5" t="n"/>
      <c r="F8" s="6" t="n"/>
      <c r="G8" s="6" t="n"/>
      <c r="H8" s="6" t="n"/>
      <c r="I8" s="5" t="inlineStr">
        <is>
          <t>Serial No.</t>
        </is>
      </c>
      <c r="J8" s="5" t="n"/>
      <c r="K8" s="5" t="n"/>
      <c r="L8" s="6" t="n"/>
      <c r="M8" s="6" t="n"/>
      <c r="N8" s="6" t="n"/>
      <c r="O8" s="6" t="n"/>
    </row>
    <row r="9" ht="22" customHeight="1">
      <c r="B9" s="5" t="inlineStr">
        <is>
          <t>Rated Capacity (kW)</t>
        </is>
      </c>
      <c r="C9" s="5" t="n"/>
      <c r="D9" s="5" t="n"/>
      <c r="E9" s="5" t="n"/>
      <c r="F9" s="6" t="n"/>
      <c r="G9" s="6" t="n"/>
      <c r="H9" s="6" t="n"/>
      <c r="I9" s="5" t="inlineStr">
        <is>
          <t>Date / Time</t>
        </is>
      </c>
      <c r="J9" s="5" t="n"/>
      <c r="K9" s="5" t="n"/>
      <c r="L9" s="6" t="n"/>
      <c r="M9" s="6" t="n"/>
      <c r="N9" s="6" t="n"/>
      <c r="O9" s="6" t="n"/>
    </row>
    <row r="10" ht="22" customHeight="1">
      <c r="B10" s="5" t="inlineStr">
        <is>
          <t>Tested By</t>
        </is>
      </c>
      <c r="C10" s="5" t="n"/>
      <c r="D10" s="5" t="n"/>
      <c r="E10" s="5" t="n"/>
      <c r="F10" s="6" t="n"/>
      <c r="G10" s="6" t="n"/>
      <c r="H10" s="6" t="n"/>
      <c r="I10" s="5" t="inlineStr">
        <is>
          <t>Weather / Irradiance (W/m²)</t>
        </is>
      </c>
      <c r="J10" s="5" t="n"/>
      <c r="K10" s="5" t="n"/>
      <c r="L10" s="6" t="n"/>
      <c r="M10" s="6" t="n"/>
      <c r="N10" s="6" t="n"/>
      <c r="O10" s="6" t="n"/>
    </row>
    <row r="11" ht="22" customHeight="1">
      <c r="B11" s="5" t="inlineStr">
        <is>
          <t>Total Strings Listed</t>
        </is>
      </c>
      <c r="C11" s="5" t="n"/>
      <c r="D11" s="5" t="n"/>
      <c r="E11" s="5" t="n"/>
      <c r="F11" s="15">
        <f>COUNT(E15:E50)</f>
        <v/>
      </c>
      <c r="G11" s="15" t="n"/>
      <c r="H11" s="15" t="n"/>
      <c r="I11" s="5" t="inlineStr">
        <is>
          <t>Total PV Modules</t>
        </is>
      </c>
      <c r="J11" s="5" t="n"/>
      <c r="K11" s="5" t="n"/>
      <c r="L11" s="15">
        <f>SUM(E15:E50)</f>
        <v/>
      </c>
      <c r="M11" s="15" t="n"/>
      <c r="N11" s="15" t="n"/>
      <c r="O11" s="15" t="n"/>
    </row>
    <row r="12">
      <c r="B12" s="4" t="inlineStr">
        <is>
          <t>STRING TESTS  —  each string is entered ONCE (MPPT / string / module count are not repeated)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 ht="20" customHeight="1">
      <c r="B13" s="21" t="inlineStr">
        <is>
          <t>STRING DETAILS</t>
        </is>
      </c>
      <c r="C13" s="21" t="n"/>
      <c r="D13" s="21" t="n"/>
      <c r="E13" s="21" t="n"/>
      <c r="F13" s="21" t="inlineStr">
        <is>
          <t>NO-LOAD  (before energising)</t>
        </is>
      </c>
      <c r="G13" s="21" t="n"/>
      <c r="H13" s="21" t="n"/>
      <c r="I13" s="21" t="n"/>
      <c r="J13" s="21" t="n"/>
      <c r="K13" s="21" t="n"/>
      <c r="L13" s="21" t="inlineStr">
        <is>
          <t>ON-LOAD</t>
        </is>
      </c>
      <c r="M13" s="21" t="n"/>
      <c r="N13" s="21" t="inlineStr">
        <is>
          <t>RESULT</t>
        </is>
      </c>
      <c r="O13" s="21" t="n"/>
    </row>
    <row r="14" ht="46" customHeight="1">
      <c r="B14" s="13" t="inlineStr">
        <is>
          <t>No.</t>
        </is>
      </c>
      <c r="C14" s="13" t="inlineStr">
        <is>
          <t>MPPT</t>
        </is>
      </c>
      <c r="D14" s="13" t="inlineStr">
        <is>
          <t>String</t>
        </is>
      </c>
      <c r="E14" s="13" t="inlineStr">
        <is>
          <t>PV Modules</t>
        </is>
      </c>
      <c r="F14" s="13" t="inlineStr">
        <is>
          <t>Voc (V)</t>
        </is>
      </c>
      <c r="G14" s="13" t="inlineStr">
        <is>
          <t>Voc dev. vs group</t>
        </is>
      </c>
      <c r="H14" s="13" t="inlineStr">
        <is>
          <t>Insulation + to Earth (MΩ)</t>
        </is>
      </c>
      <c r="I14" s="13" t="inlineStr">
        <is>
          <t>Insulation – to Earth (MΩ)</t>
        </is>
      </c>
      <c r="J14" s="13" t="inlineStr">
        <is>
          <t>Insulation + to – (MΩ)</t>
        </is>
      </c>
      <c r="K14" s="13" t="inlineStr">
        <is>
          <t>Polarity</t>
        </is>
      </c>
      <c r="L14" s="13" t="inlineStr">
        <is>
          <t>Operating Voltage (V)</t>
        </is>
      </c>
      <c r="M14" s="13" t="inlineStr">
        <is>
          <t>String Current (A)</t>
        </is>
      </c>
      <c r="N14" s="13" t="inlineStr">
        <is>
          <t>Result</t>
        </is>
      </c>
      <c r="O14" s="13" t="inlineStr">
        <is>
          <t>Remarks</t>
        </is>
      </c>
    </row>
    <row r="15" ht="19" customHeight="1">
      <c r="B15" s="8" t="n">
        <v>1</v>
      </c>
      <c r="C15" s="14" t="n"/>
      <c r="D15" s="14" t="n"/>
      <c r="E15" s="22" t="n"/>
      <c r="F15" s="23" t="n"/>
      <c r="G15" s="24">
        <f>IF(NOT(ISNUMBER(F15)),"",IFERROR(F15/IF(AND(C15&lt;&gt;"",E15&lt;&gt;""),AVERAGEIFS(F$15:F$50,C$15:C$50,C15,E$15:E$50,E15),AVERAGE(F$15:F$50))-1,""))</f>
        <v/>
      </c>
      <c r="H15" s="23" t="n"/>
      <c r="I15" s="23" t="n"/>
      <c r="J15" s="23" t="n"/>
      <c r="K15" s="14" t="n"/>
      <c r="L15" s="23" t="n"/>
      <c r="M15" s="25" t="n"/>
      <c r="N15" s="15">
        <f>IF(COUNTA(F15,H15:M15)=0,"",IF(OR(K15="Reverse",AND(COUNT(H15:J15)&gt;0,MIN(H15:J15)&lt;LIM_INS_DC),IF(ISNUMBER(G15),ABS(G15)&gt;LIM_VOC_DEV,FALSE)),"Fail",IF(AND(ISNUMBER(F15),COUNT(H15:J15)=3,K15="OK"),"Pass","Incomplete")))</f>
        <v/>
      </c>
      <c r="O15" s="6" t="n"/>
    </row>
    <row r="16" ht="19" customHeight="1">
      <c r="B16" s="8" t="n">
        <v>2</v>
      </c>
      <c r="C16" s="14" t="n"/>
      <c r="D16" s="14" t="n"/>
      <c r="E16" s="22" t="n"/>
      <c r="F16" s="23" t="n"/>
      <c r="G16" s="24">
        <f>IF(NOT(ISNUMBER(F16)),"",IFERROR(F16/IF(AND(C16&lt;&gt;"",E16&lt;&gt;""),AVERAGEIFS(F$15:F$50,C$15:C$50,C16,E$15:E$50,E16),AVERAGE(F$15:F$50))-1,""))</f>
        <v/>
      </c>
      <c r="H16" s="23" t="n"/>
      <c r="I16" s="23" t="n"/>
      <c r="J16" s="23" t="n"/>
      <c r="K16" s="14" t="n"/>
      <c r="L16" s="23" t="n"/>
      <c r="M16" s="25" t="n"/>
      <c r="N16" s="15">
        <f>IF(COUNTA(F16,H16:M16)=0,"",IF(OR(K16="Reverse",AND(COUNT(H16:J16)&gt;0,MIN(H16:J16)&lt;LIM_INS_DC),IF(ISNUMBER(G16),ABS(G16)&gt;LIM_VOC_DEV,FALSE)),"Fail",IF(AND(ISNUMBER(F16),COUNT(H16:J16)=3,K16="OK"),"Pass","Incomplete")))</f>
        <v/>
      </c>
      <c r="O16" s="6" t="n"/>
    </row>
    <row r="17" ht="19" customHeight="1">
      <c r="B17" s="8" t="n">
        <v>3</v>
      </c>
      <c r="C17" s="14" t="n"/>
      <c r="D17" s="14" t="n"/>
      <c r="E17" s="22" t="n"/>
      <c r="F17" s="23" t="n"/>
      <c r="G17" s="24">
        <f>IF(NOT(ISNUMBER(F17)),"",IFERROR(F17/IF(AND(C17&lt;&gt;"",E17&lt;&gt;""),AVERAGEIFS(F$15:F$50,C$15:C$50,C17,E$15:E$50,E17),AVERAGE(F$15:F$50))-1,""))</f>
        <v/>
      </c>
      <c r="H17" s="23" t="n"/>
      <c r="I17" s="23" t="n"/>
      <c r="J17" s="23" t="n"/>
      <c r="K17" s="14" t="n"/>
      <c r="L17" s="23" t="n"/>
      <c r="M17" s="25" t="n"/>
      <c r="N17" s="15">
        <f>IF(COUNTA(F17,H17:M17)=0,"",IF(OR(K17="Reverse",AND(COUNT(H17:J17)&gt;0,MIN(H17:J17)&lt;LIM_INS_DC),IF(ISNUMBER(G17),ABS(G17)&gt;LIM_VOC_DEV,FALSE)),"Fail",IF(AND(ISNUMBER(F17),COUNT(H17:J17)=3,K17="OK"),"Pass","Incomplete")))</f>
        <v/>
      </c>
      <c r="O17" s="6" t="n"/>
    </row>
    <row r="18" ht="19" customHeight="1">
      <c r="B18" s="8" t="n">
        <v>4</v>
      </c>
      <c r="C18" s="14" t="n"/>
      <c r="D18" s="14" t="n"/>
      <c r="E18" s="22" t="n"/>
      <c r="F18" s="23" t="n"/>
      <c r="G18" s="24">
        <f>IF(NOT(ISNUMBER(F18)),"",IFERROR(F18/IF(AND(C18&lt;&gt;"",E18&lt;&gt;""),AVERAGEIFS(F$15:F$50,C$15:C$50,C18,E$15:E$50,E18),AVERAGE(F$15:F$50))-1,""))</f>
        <v/>
      </c>
      <c r="H18" s="23" t="n"/>
      <c r="I18" s="23" t="n"/>
      <c r="J18" s="23" t="n"/>
      <c r="K18" s="14" t="n"/>
      <c r="L18" s="23" t="n"/>
      <c r="M18" s="25" t="n"/>
      <c r="N18" s="15">
        <f>IF(COUNTA(F18,H18:M18)=0,"",IF(OR(K18="Reverse",AND(COUNT(H18:J18)&gt;0,MIN(H18:J18)&lt;LIM_INS_DC),IF(ISNUMBER(G18),ABS(G18)&gt;LIM_VOC_DEV,FALSE)),"Fail",IF(AND(ISNUMBER(F18),COUNT(H18:J18)=3,K18="OK"),"Pass","Incomplete")))</f>
        <v/>
      </c>
      <c r="O18" s="6" t="n"/>
    </row>
    <row r="19" ht="19" customHeight="1">
      <c r="B19" s="8" t="n">
        <v>5</v>
      </c>
      <c r="C19" s="14" t="n"/>
      <c r="D19" s="14" t="n"/>
      <c r="E19" s="22" t="n"/>
      <c r="F19" s="23" t="n"/>
      <c r="G19" s="24">
        <f>IF(NOT(ISNUMBER(F19)),"",IFERROR(F19/IF(AND(C19&lt;&gt;"",E19&lt;&gt;""),AVERAGEIFS(F$15:F$50,C$15:C$50,C19,E$15:E$50,E19),AVERAGE(F$15:F$50))-1,""))</f>
        <v/>
      </c>
      <c r="H19" s="23" t="n"/>
      <c r="I19" s="23" t="n"/>
      <c r="J19" s="23" t="n"/>
      <c r="K19" s="14" t="n"/>
      <c r="L19" s="23" t="n"/>
      <c r="M19" s="25" t="n"/>
      <c r="N19" s="15">
        <f>IF(COUNTA(F19,H19:M19)=0,"",IF(OR(K19="Reverse",AND(COUNT(H19:J19)&gt;0,MIN(H19:J19)&lt;LIM_INS_DC),IF(ISNUMBER(G19),ABS(G19)&gt;LIM_VOC_DEV,FALSE)),"Fail",IF(AND(ISNUMBER(F19),COUNT(H19:J19)=3,K19="OK"),"Pass","Incomplete")))</f>
        <v/>
      </c>
      <c r="O19" s="6" t="n"/>
    </row>
    <row r="20" ht="19" customHeight="1">
      <c r="B20" s="8" t="n">
        <v>6</v>
      </c>
      <c r="C20" s="14" t="n"/>
      <c r="D20" s="14" t="n"/>
      <c r="E20" s="22" t="n"/>
      <c r="F20" s="23" t="n"/>
      <c r="G20" s="24">
        <f>IF(NOT(ISNUMBER(F20)),"",IFERROR(F20/IF(AND(C20&lt;&gt;"",E20&lt;&gt;""),AVERAGEIFS(F$15:F$50,C$15:C$50,C20,E$15:E$50,E20),AVERAGE(F$15:F$50))-1,""))</f>
        <v/>
      </c>
      <c r="H20" s="23" t="n"/>
      <c r="I20" s="23" t="n"/>
      <c r="J20" s="23" t="n"/>
      <c r="K20" s="14" t="n"/>
      <c r="L20" s="23" t="n"/>
      <c r="M20" s="25" t="n"/>
      <c r="N20" s="15">
        <f>IF(COUNTA(F20,H20:M20)=0,"",IF(OR(K20="Reverse",AND(COUNT(H20:J20)&gt;0,MIN(H20:J20)&lt;LIM_INS_DC),IF(ISNUMBER(G20),ABS(G20)&gt;LIM_VOC_DEV,FALSE)),"Fail",IF(AND(ISNUMBER(F20),COUNT(H20:J20)=3,K20="OK"),"Pass","Incomplete")))</f>
        <v/>
      </c>
      <c r="O20" s="6" t="n"/>
    </row>
    <row r="21" ht="19" customHeight="1">
      <c r="B21" s="8" t="n">
        <v>7</v>
      </c>
      <c r="C21" s="14" t="n"/>
      <c r="D21" s="14" t="n"/>
      <c r="E21" s="22" t="n"/>
      <c r="F21" s="23" t="n"/>
      <c r="G21" s="24">
        <f>IF(NOT(ISNUMBER(F21)),"",IFERROR(F21/IF(AND(C21&lt;&gt;"",E21&lt;&gt;""),AVERAGEIFS(F$15:F$50,C$15:C$50,C21,E$15:E$50,E21),AVERAGE(F$15:F$50))-1,""))</f>
        <v/>
      </c>
      <c r="H21" s="23" t="n"/>
      <c r="I21" s="23" t="n"/>
      <c r="J21" s="23" t="n"/>
      <c r="K21" s="14" t="n"/>
      <c r="L21" s="23" t="n"/>
      <c r="M21" s="25" t="n"/>
      <c r="N21" s="15">
        <f>IF(COUNTA(F21,H21:M21)=0,"",IF(OR(K21="Reverse",AND(COUNT(H21:J21)&gt;0,MIN(H21:J21)&lt;LIM_INS_DC),IF(ISNUMBER(G21),ABS(G21)&gt;LIM_VOC_DEV,FALSE)),"Fail",IF(AND(ISNUMBER(F21),COUNT(H21:J21)=3,K21="OK"),"Pass","Incomplete")))</f>
        <v/>
      </c>
      <c r="O21" s="6" t="n"/>
    </row>
    <row r="22" ht="19" customHeight="1">
      <c r="B22" s="8" t="n">
        <v>8</v>
      </c>
      <c r="C22" s="14" t="n"/>
      <c r="D22" s="14" t="n"/>
      <c r="E22" s="22" t="n"/>
      <c r="F22" s="23" t="n"/>
      <c r="G22" s="24">
        <f>IF(NOT(ISNUMBER(F22)),"",IFERROR(F22/IF(AND(C22&lt;&gt;"",E22&lt;&gt;""),AVERAGEIFS(F$15:F$50,C$15:C$50,C22,E$15:E$50,E22),AVERAGE(F$15:F$50))-1,""))</f>
        <v/>
      </c>
      <c r="H22" s="23" t="n"/>
      <c r="I22" s="23" t="n"/>
      <c r="J22" s="23" t="n"/>
      <c r="K22" s="14" t="n"/>
      <c r="L22" s="23" t="n"/>
      <c r="M22" s="25" t="n"/>
      <c r="N22" s="15">
        <f>IF(COUNTA(F22,H22:M22)=0,"",IF(OR(K22="Reverse",AND(COUNT(H22:J22)&gt;0,MIN(H22:J22)&lt;LIM_INS_DC),IF(ISNUMBER(G22),ABS(G22)&gt;LIM_VOC_DEV,FALSE)),"Fail",IF(AND(ISNUMBER(F22),COUNT(H22:J22)=3,K22="OK"),"Pass","Incomplete")))</f>
        <v/>
      </c>
      <c r="O22" s="6" t="n"/>
    </row>
    <row r="23" ht="19" customHeight="1">
      <c r="B23" s="8" t="n">
        <v>9</v>
      </c>
      <c r="C23" s="14" t="n"/>
      <c r="D23" s="14" t="n"/>
      <c r="E23" s="22" t="n"/>
      <c r="F23" s="23" t="n"/>
      <c r="G23" s="24">
        <f>IF(NOT(ISNUMBER(F23)),"",IFERROR(F23/IF(AND(C23&lt;&gt;"",E23&lt;&gt;""),AVERAGEIFS(F$15:F$50,C$15:C$50,C23,E$15:E$50,E23),AVERAGE(F$15:F$50))-1,""))</f>
        <v/>
      </c>
      <c r="H23" s="23" t="n"/>
      <c r="I23" s="23" t="n"/>
      <c r="J23" s="23" t="n"/>
      <c r="K23" s="14" t="n"/>
      <c r="L23" s="23" t="n"/>
      <c r="M23" s="25" t="n"/>
      <c r="N23" s="15">
        <f>IF(COUNTA(F23,H23:M23)=0,"",IF(OR(K23="Reverse",AND(COUNT(H23:J23)&gt;0,MIN(H23:J23)&lt;LIM_INS_DC),IF(ISNUMBER(G23),ABS(G23)&gt;LIM_VOC_DEV,FALSE)),"Fail",IF(AND(ISNUMBER(F23),COUNT(H23:J23)=3,K23="OK"),"Pass","Incomplete")))</f>
        <v/>
      </c>
      <c r="O23" s="6" t="n"/>
    </row>
    <row r="24" ht="19" customHeight="1">
      <c r="B24" s="8" t="n">
        <v>10</v>
      </c>
      <c r="C24" s="14" t="n"/>
      <c r="D24" s="14" t="n"/>
      <c r="E24" s="22" t="n"/>
      <c r="F24" s="23" t="n"/>
      <c r="G24" s="24">
        <f>IF(NOT(ISNUMBER(F24)),"",IFERROR(F24/IF(AND(C24&lt;&gt;"",E24&lt;&gt;""),AVERAGEIFS(F$15:F$50,C$15:C$50,C24,E$15:E$50,E24),AVERAGE(F$15:F$50))-1,""))</f>
        <v/>
      </c>
      <c r="H24" s="23" t="n"/>
      <c r="I24" s="23" t="n"/>
      <c r="J24" s="23" t="n"/>
      <c r="K24" s="14" t="n"/>
      <c r="L24" s="23" t="n"/>
      <c r="M24" s="25" t="n"/>
      <c r="N24" s="15">
        <f>IF(COUNTA(F24,H24:M24)=0,"",IF(OR(K24="Reverse",AND(COUNT(H24:J24)&gt;0,MIN(H24:J24)&lt;LIM_INS_DC),IF(ISNUMBER(G24),ABS(G24)&gt;LIM_VOC_DEV,FALSE)),"Fail",IF(AND(ISNUMBER(F24),COUNT(H24:J24)=3,K24="OK"),"Pass","Incomplete")))</f>
        <v/>
      </c>
      <c r="O24" s="6" t="n"/>
    </row>
    <row r="25" ht="19" customHeight="1">
      <c r="B25" s="8" t="n">
        <v>11</v>
      </c>
      <c r="C25" s="14" t="n"/>
      <c r="D25" s="14" t="n"/>
      <c r="E25" s="22" t="n"/>
      <c r="F25" s="23" t="n"/>
      <c r="G25" s="24">
        <f>IF(NOT(ISNUMBER(F25)),"",IFERROR(F25/IF(AND(C25&lt;&gt;"",E25&lt;&gt;""),AVERAGEIFS(F$15:F$50,C$15:C$50,C25,E$15:E$50,E25),AVERAGE(F$15:F$50))-1,""))</f>
        <v/>
      </c>
      <c r="H25" s="23" t="n"/>
      <c r="I25" s="23" t="n"/>
      <c r="J25" s="23" t="n"/>
      <c r="K25" s="14" t="n"/>
      <c r="L25" s="23" t="n"/>
      <c r="M25" s="25" t="n"/>
      <c r="N25" s="15">
        <f>IF(COUNTA(F25,H25:M25)=0,"",IF(OR(K25="Reverse",AND(COUNT(H25:J25)&gt;0,MIN(H25:J25)&lt;LIM_INS_DC),IF(ISNUMBER(G25),ABS(G25)&gt;LIM_VOC_DEV,FALSE)),"Fail",IF(AND(ISNUMBER(F25),COUNT(H25:J25)=3,K25="OK"),"Pass","Incomplete")))</f>
        <v/>
      </c>
      <c r="O25" s="6" t="n"/>
    </row>
    <row r="26" ht="19" customHeight="1">
      <c r="B26" s="8" t="n">
        <v>12</v>
      </c>
      <c r="C26" s="14" t="n"/>
      <c r="D26" s="14" t="n"/>
      <c r="E26" s="22" t="n"/>
      <c r="F26" s="23" t="n"/>
      <c r="G26" s="24">
        <f>IF(NOT(ISNUMBER(F26)),"",IFERROR(F26/IF(AND(C26&lt;&gt;"",E26&lt;&gt;""),AVERAGEIFS(F$15:F$50,C$15:C$50,C26,E$15:E$50,E26),AVERAGE(F$15:F$50))-1,""))</f>
        <v/>
      </c>
      <c r="H26" s="23" t="n"/>
      <c r="I26" s="23" t="n"/>
      <c r="J26" s="23" t="n"/>
      <c r="K26" s="14" t="n"/>
      <c r="L26" s="23" t="n"/>
      <c r="M26" s="25" t="n"/>
      <c r="N26" s="15">
        <f>IF(COUNTA(F26,H26:M26)=0,"",IF(OR(K26="Reverse",AND(COUNT(H26:J26)&gt;0,MIN(H26:J26)&lt;LIM_INS_DC),IF(ISNUMBER(G26),ABS(G26)&gt;LIM_VOC_DEV,FALSE)),"Fail",IF(AND(ISNUMBER(F26),COUNT(H26:J26)=3,K26="OK"),"Pass","Incomplete")))</f>
        <v/>
      </c>
      <c r="O26" s="6" t="n"/>
    </row>
    <row r="27" ht="19" customHeight="1">
      <c r="B27" s="8" t="n">
        <v>13</v>
      </c>
      <c r="C27" s="14" t="n"/>
      <c r="D27" s="14" t="n"/>
      <c r="E27" s="22" t="n"/>
      <c r="F27" s="23" t="n"/>
      <c r="G27" s="24">
        <f>IF(NOT(ISNUMBER(F27)),"",IFERROR(F27/IF(AND(C27&lt;&gt;"",E27&lt;&gt;""),AVERAGEIFS(F$15:F$50,C$15:C$50,C27,E$15:E$50,E27),AVERAGE(F$15:F$50))-1,""))</f>
        <v/>
      </c>
      <c r="H27" s="23" t="n"/>
      <c r="I27" s="23" t="n"/>
      <c r="J27" s="23" t="n"/>
      <c r="K27" s="14" t="n"/>
      <c r="L27" s="23" t="n"/>
      <c r="M27" s="25" t="n"/>
      <c r="N27" s="15">
        <f>IF(COUNTA(F27,H27:M27)=0,"",IF(OR(K27="Reverse",AND(COUNT(H27:J27)&gt;0,MIN(H27:J27)&lt;LIM_INS_DC),IF(ISNUMBER(G27),ABS(G27)&gt;LIM_VOC_DEV,FALSE)),"Fail",IF(AND(ISNUMBER(F27),COUNT(H27:J27)=3,K27="OK"),"Pass","Incomplete")))</f>
        <v/>
      </c>
      <c r="O27" s="6" t="n"/>
    </row>
    <row r="28" ht="19" customHeight="1">
      <c r="B28" s="8" t="n">
        <v>14</v>
      </c>
      <c r="C28" s="14" t="n"/>
      <c r="D28" s="14" t="n"/>
      <c r="E28" s="22" t="n"/>
      <c r="F28" s="23" t="n"/>
      <c r="G28" s="24">
        <f>IF(NOT(ISNUMBER(F28)),"",IFERROR(F28/IF(AND(C28&lt;&gt;"",E28&lt;&gt;""),AVERAGEIFS(F$15:F$50,C$15:C$50,C28,E$15:E$50,E28),AVERAGE(F$15:F$50))-1,""))</f>
        <v/>
      </c>
      <c r="H28" s="23" t="n"/>
      <c r="I28" s="23" t="n"/>
      <c r="J28" s="23" t="n"/>
      <c r="K28" s="14" t="n"/>
      <c r="L28" s="23" t="n"/>
      <c r="M28" s="25" t="n"/>
      <c r="N28" s="15">
        <f>IF(COUNTA(F28,H28:M28)=0,"",IF(OR(K28="Reverse",AND(COUNT(H28:J28)&gt;0,MIN(H28:J28)&lt;LIM_INS_DC),IF(ISNUMBER(G28),ABS(G28)&gt;LIM_VOC_DEV,FALSE)),"Fail",IF(AND(ISNUMBER(F28),COUNT(H28:J28)=3,K28="OK"),"Pass","Incomplete")))</f>
        <v/>
      </c>
      <c r="O28" s="6" t="n"/>
    </row>
    <row r="29" ht="19" customHeight="1">
      <c r="B29" s="8" t="n">
        <v>15</v>
      </c>
      <c r="C29" s="14" t="n"/>
      <c r="D29" s="14" t="n"/>
      <c r="E29" s="22" t="n"/>
      <c r="F29" s="23" t="n"/>
      <c r="G29" s="24">
        <f>IF(NOT(ISNUMBER(F29)),"",IFERROR(F29/IF(AND(C29&lt;&gt;"",E29&lt;&gt;""),AVERAGEIFS(F$15:F$50,C$15:C$50,C29,E$15:E$50,E29),AVERAGE(F$15:F$50))-1,""))</f>
        <v/>
      </c>
      <c r="H29" s="23" t="n"/>
      <c r="I29" s="23" t="n"/>
      <c r="J29" s="23" t="n"/>
      <c r="K29" s="14" t="n"/>
      <c r="L29" s="23" t="n"/>
      <c r="M29" s="25" t="n"/>
      <c r="N29" s="15">
        <f>IF(COUNTA(F29,H29:M29)=0,"",IF(OR(K29="Reverse",AND(COUNT(H29:J29)&gt;0,MIN(H29:J29)&lt;LIM_INS_DC),IF(ISNUMBER(G29),ABS(G29)&gt;LIM_VOC_DEV,FALSE)),"Fail",IF(AND(ISNUMBER(F29),COUNT(H29:J29)=3,K29="OK"),"Pass","Incomplete")))</f>
        <v/>
      </c>
      <c r="O29" s="6" t="n"/>
    </row>
    <row r="30" ht="19" customHeight="1">
      <c r="B30" s="8" t="n">
        <v>16</v>
      </c>
      <c r="C30" s="14" t="n"/>
      <c r="D30" s="14" t="n"/>
      <c r="E30" s="22" t="n"/>
      <c r="F30" s="23" t="n"/>
      <c r="G30" s="24">
        <f>IF(NOT(ISNUMBER(F30)),"",IFERROR(F30/IF(AND(C30&lt;&gt;"",E30&lt;&gt;""),AVERAGEIFS(F$15:F$50,C$15:C$50,C30,E$15:E$50,E30),AVERAGE(F$15:F$50))-1,""))</f>
        <v/>
      </c>
      <c r="H30" s="23" t="n"/>
      <c r="I30" s="23" t="n"/>
      <c r="J30" s="23" t="n"/>
      <c r="K30" s="14" t="n"/>
      <c r="L30" s="23" t="n"/>
      <c r="M30" s="25" t="n"/>
      <c r="N30" s="15">
        <f>IF(COUNTA(F30,H30:M30)=0,"",IF(OR(K30="Reverse",AND(COUNT(H30:J30)&gt;0,MIN(H30:J30)&lt;LIM_INS_DC),IF(ISNUMBER(G30),ABS(G30)&gt;LIM_VOC_DEV,FALSE)),"Fail",IF(AND(ISNUMBER(F30),COUNT(H30:J30)=3,K30="OK"),"Pass","Incomplete")))</f>
        <v/>
      </c>
      <c r="O30" s="6" t="n"/>
    </row>
    <row r="31" ht="19" customHeight="1">
      <c r="B31" s="8" t="n">
        <v>17</v>
      </c>
      <c r="C31" s="14" t="n"/>
      <c r="D31" s="14" t="n"/>
      <c r="E31" s="22" t="n"/>
      <c r="F31" s="23" t="n"/>
      <c r="G31" s="24">
        <f>IF(NOT(ISNUMBER(F31)),"",IFERROR(F31/IF(AND(C31&lt;&gt;"",E31&lt;&gt;""),AVERAGEIFS(F$15:F$50,C$15:C$50,C31,E$15:E$50,E31),AVERAGE(F$15:F$50))-1,""))</f>
        <v/>
      </c>
      <c r="H31" s="23" t="n"/>
      <c r="I31" s="23" t="n"/>
      <c r="J31" s="23" t="n"/>
      <c r="K31" s="14" t="n"/>
      <c r="L31" s="23" t="n"/>
      <c r="M31" s="25" t="n"/>
      <c r="N31" s="15">
        <f>IF(COUNTA(F31,H31:M31)=0,"",IF(OR(K31="Reverse",AND(COUNT(H31:J31)&gt;0,MIN(H31:J31)&lt;LIM_INS_DC),IF(ISNUMBER(G31),ABS(G31)&gt;LIM_VOC_DEV,FALSE)),"Fail",IF(AND(ISNUMBER(F31),COUNT(H31:J31)=3,K31="OK"),"Pass","Incomplete")))</f>
        <v/>
      </c>
      <c r="O31" s="6" t="n"/>
    </row>
    <row r="32" ht="19" customHeight="1">
      <c r="B32" s="8" t="n">
        <v>18</v>
      </c>
      <c r="C32" s="14" t="n"/>
      <c r="D32" s="14" t="n"/>
      <c r="E32" s="22" t="n"/>
      <c r="F32" s="23" t="n"/>
      <c r="G32" s="24">
        <f>IF(NOT(ISNUMBER(F32)),"",IFERROR(F32/IF(AND(C32&lt;&gt;"",E32&lt;&gt;""),AVERAGEIFS(F$15:F$50,C$15:C$50,C32,E$15:E$50,E32),AVERAGE(F$15:F$50))-1,""))</f>
        <v/>
      </c>
      <c r="H32" s="23" t="n"/>
      <c r="I32" s="23" t="n"/>
      <c r="J32" s="23" t="n"/>
      <c r="K32" s="14" t="n"/>
      <c r="L32" s="23" t="n"/>
      <c r="M32" s="25" t="n"/>
      <c r="N32" s="15">
        <f>IF(COUNTA(F32,H32:M32)=0,"",IF(OR(K32="Reverse",AND(COUNT(H32:J32)&gt;0,MIN(H32:J32)&lt;LIM_INS_DC),IF(ISNUMBER(G32),ABS(G32)&gt;LIM_VOC_DEV,FALSE)),"Fail",IF(AND(ISNUMBER(F32),COUNT(H32:J32)=3,K32="OK"),"Pass","Incomplete")))</f>
        <v/>
      </c>
      <c r="O32" s="6" t="n"/>
    </row>
    <row r="33" ht="19" customHeight="1">
      <c r="B33" s="8" t="n">
        <v>19</v>
      </c>
      <c r="C33" s="14" t="n"/>
      <c r="D33" s="14" t="n"/>
      <c r="E33" s="22" t="n"/>
      <c r="F33" s="23" t="n"/>
      <c r="G33" s="24">
        <f>IF(NOT(ISNUMBER(F33)),"",IFERROR(F33/IF(AND(C33&lt;&gt;"",E33&lt;&gt;""),AVERAGEIFS(F$15:F$50,C$15:C$50,C33,E$15:E$50,E33),AVERAGE(F$15:F$50))-1,""))</f>
        <v/>
      </c>
      <c r="H33" s="23" t="n"/>
      <c r="I33" s="23" t="n"/>
      <c r="J33" s="23" t="n"/>
      <c r="K33" s="14" t="n"/>
      <c r="L33" s="23" t="n"/>
      <c r="M33" s="25" t="n"/>
      <c r="N33" s="15">
        <f>IF(COUNTA(F33,H33:M33)=0,"",IF(OR(K33="Reverse",AND(COUNT(H33:J33)&gt;0,MIN(H33:J33)&lt;LIM_INS_DC),IF(ISNUMBER(G33),ABS(G33)&gt;LIM_VOC_DEV,FALSE)),"Fail",IF(AND(ISNUMBER(F33),COUNT(H33:J33)=3,K33="OK"),"Pass","Incomplete")))</f>
        <v/>
      </c>
      <c r="O33" s="6" t="n"/>
    </row>
    <row r="34" ht="19" customHeight="1">
      <c r="B34" s="8" t="n">
        <v>20</v>
      </c>
      <c r="C34" s="14" t="n"/>
      <c r="D34" s="14" t="n"/>
      <c r="E34" s="22" t="n"/>
      <c r="F34" s="23" t="n"/>
      <c r="G34" s="24">
        <f>IF(NOT(ISNUMBER(F34)),"",IFERROR(F34/IF(AND(C34&lt;&gt;"",E34&lt;&gt;""),AVERAGEIFS(F$15:F$50,C$15:C$50,C34,E$15:E$50,E34),AVERAGE(F$15:F$50))-1,""))</f>
        <v/>
      </c>
      <c r="H34" s="23" t="n"/>
      <c r="I34" s="23" t="n"/>
      <c r="J34" s="23" t="n"/>
      <c r="K34" s="14" t="n"/>
      <c r="L34" s="23" t="n"/>
      <c r="M34" s="25" t="n"/>
      <c r="N34" s="15">
        <f>IF(COUNTA(F34,H34:M34)=0,"",IF(OR(K34="Reverse",AND(COUNT(H34:J34)&gt;0,MIN(H34:J34)&lt;LIM_INS_DC),IF(ISNUMBER(G34),ABS(G34)&gt;LIM_VOC_DEV,FALSE)),"Fail",IF(AND(ISNUMBER(F34),COUNT(H34:J34)=3,K34="OK"),"Pass","Incomplete")))</f>
        <v/>
      </c>
      <c r="O34" s="6" t="n"/>
    </row>
    <row r="35" ht="19" customHeight="1">
      <c r="B35" s="8" t="n">
        <v>21</v>
      </c>
      <c r="C35" s="14" t="n"/>
      <c r="D35" s="14" t="n"/>
      <c r="E35" s="22" t="n"/>
      <c r="F35" s="23" t="n"/>
      <c r="G35" s="24">
        <f>IF(NOT(ISNUMBER(F35)),"",IFERROR(F35/IF(AND(C35&lt;&gt;"",E35&lt;&gt;""),AVERAGEIFS(F$15:F$50,C$15:C$50,C35,E$15:E$50,E35),AVERAGE(F$15:F$50))-1,""))</f>
        <v/>
      </c>
      <c r="H35" s="23" t="n"/>
      <c r="I35" s="23" t="n"/>
      <c r="J35" s="23" t="n"/>
      <c r="K35" s="14" t="n"/>
      <c r="L35" s="23" t="n"/>
      <c r="M35" s="25" t="n"/>
      <c r="N35" s="15">
        <f>IF(COUNTA(F35,H35:M35)=0,"",IF(OR(K35="Reverse",AND(COUNT(H35:J35)&gt;0,MIN(H35:J35)&lt;LIM_INS_DC),IF(ISNUMBER(G35),ABS(G35)&gt;LIM_VOC_DEV,FALSE)),"Fail",IF(AND(ISNUMBER(F35),COUNT(H35:J35)=3,K35="OK"),"Pass","Incomplete")))</f>
        <v/>
      </c>
      <c r="O35" s="6" t="n"/>
    </row>
    <row r="36" ht="19" customHeight="1">
      <c r="B36" s="8" t="n">
        <v>22</v>
      </c>
      <c r="C36" s="14" t="n"/>
      <c r="D36" s="14" t="n"/>
      <c r="E36" s="22" t="n"/>
      <c r="F36" s="23" t="n"/>
      <c r="G36" s="24">
        <f>IF(NOT(ISNUMBER(F36)),"",IFERROR(F36/IF(AND(C36&lt;&gt;"",E36&lt;&gt;""),AVERAGEIFS(F$15:F$50,C$15:C$50,C36,E$15:E$50,E36),AVERAGE(F$15:F$50))-1,""))</f>
        <v/>
      </c>
      <c r="H36" s="23" t="n"/>
      <c r="I36" s="23" t="n"/>
      <c r="J36" s="23" t="n"/>
      <c r="K36" s="14" t="n"/>
      <c r="L36" s="23" t="n"/>
      <c r="M36" s="25" t="n"/>
      <c r="N36" s="15">
        <f>IF(COUNTA(F36,H36:M36)=0,"",IF(OR(K36="Reverse",AND(COUNT(H36:J36)&gt;0,MIN(H36:J36)&lt;LIM_INS_DC),IF(ISNUMBER(G36),ABS(G36)&gt;LIM_VOC_DEV,FALSE)),"Fail",IF(AND(ISNUMBER(F36),COUNT(H36:J36)=3,K36="OK"),"Pass","Incomplete")))</f>
        <v/>
      </c>
      <c r="O36" s="6" t="n"/>
    </row>
    <row r="37" ht="19" customHeight="1">
      <c r="B37" s="8" t="n">
        <v>23</v>
      </c>
      <c r="C37" s="14" t="n"/>
      <c r="D37" s="14" t="n"/>
      <c r="E37" s="22" t="n"/>
      <c r="F37" s="23" t="n"/>
      <c r="G37" s="24">
        <f>IF(NOT(ISNUMBER(F37)),"",IFERROR(F37/IF(AND(C37&lt;&gt;"",E37&lt;&gt;""),AVERAGEIFS(F$15:F$50,C$15:C$50,C37,E$15:E$50,E37),AVERAGE(F$15:F$50))-1,""))</f>
        <v/>
      </c>
      <c r="H37" s="23" t="n"/>
      <c r="I37" s="23" t="n"/>
      <c r="J37" s="23" t="n"/>
      <c r="K37" s="14" t="n"/>
      <c r="L37" s="23" t="n"/>
      <c r="M37" s="25" t="n"/>
      <c r="N37" s="15">
        <f>IF(COUNTA(F37,H37:M37)=0,"",IF(OR(K37="Reverse",AND(COUNT(H37:J37)&gt;0,MIN(H37:J37)&lt;LIM_INS_DC),IF(ISNUMBER(G37),ABS(G37)&gt;LIM_VOC_DEV,FALSE)),"Fail",IF(AND(ISNUMBER(F37),COUNT(H37:J37)=3,K37="OK"),"Pass","Incomplete")))</f>
        <v/>
      </c>
      <c r="O37" s="6" t="n"/>
    </row>
    <row r="38" ht="19" customHeight="1">
      <c r="B38" s="8" t="n">
        <v>24</v>
      </c>
      <c r="C38" s="14" t="n"/>
      <c r="D38" s="14" t="n"/>
      <c r="E38" s="22" t="n"/>
      <c r="F38" s="23" t="n"/>
      <c r="G38" s="24">
        <f>IF(NOT(ISNUMBER(F38)),"",IFERROR(F38/IF(AND(C38&lt;&gt;"",E38&lt;&gt;""),AVERAGEIFS(F$15:F$50,C$15:C$50,C38,E$15:E$50,E38),AVERAGE(F$15:F$50))-1,""))</f>
        <v/>
      </c>
      <c r="H38" s="23" t="n"/>
      <c r="I38" s="23" t="n"/>
      <c r="J38" s="23" t="n"/>
      <c r="K38" s="14" t="n"/>
      <c r="L38" s="23" t="n"/>
      <c r="M38" s="25" t="n"/>
      <c r="N38" s="15">
        <f>IF(COUNTA(F38,H38:M38)=0,"",IF(OR(K38="Reverse",AND(COUNT(H38:J38)&gt;0,MIN(H38:J38)&lt;LIM_INS_DC),IF(ISNUMBER(G38),ABS(G38)&gt;LIM_VOC_DEV,FALSE)),"Fail",IF(AND(ISNUMBER(F38),COUNT(H38:J38)=3,K38="OK"),"Pass","Incomplete")))</f>
        <v/>
      </c>
      <c r="O38" s="6" t="n"/>
    </row>
    <row r="39" ht="19" customHeight="1">
      <c r="B39" s="8" t="n">
        <v>25</v>
      </c>
      <c r="C39" s="14" t="n"/>
      <c r="D39" s="14" t="n"/>
      <c r="E39" s="22" t="n"/>
      <c r="F39" s="23" t="n"/>
      <c r="G39" s="24">
        <f>IF(NOT(ISNUMBER(F39)),"",IFERROR(F39/IF(AND(C39&lt;&gt;"",E39&lt;&gt;""),AVERAGEIFS(F$15:F$50,C$15:C$50,C39,E$15:E$50,E39),AVERAGE(F$15:F$50))-1,""))</f>
        <v/>
      </c>
      <c r="H39" s="23" t="n"/>
      <c r="I39" s="23" t="n"/>
      <c r="J39" s="23" t="n"/>
      <c r="K39" s="14" t="n"/>
      <c r="L39" s="23" t="n"/>
      <c r="M39" s="25" t="n"/>
      <c r="N39" s="15">
        <f>IF(COUNTA(F39,H39:M39)=0,"",IF(OR(K39="Reverse",AND(COUNT(H39:J39)&gt;0,MIN(H39:J39)&lt;LIM_INS_DC),IF(ISNUMBER(G39),ABS(G39)&gt;LIM_VOC_DEV,FALSE)),"Fail",IF(AND(ISNUMBER(F39),COUNT(H39:J39)=3,K39="OK"),"Pass","Incomplete")))</f>
        <v/>
      </c>
      <c r="O39" s="6" t="n"/>
    </row>
    <row r="40" ht="19" customHeight="1">
      <c r="B40" s="8" t="n">
        <v>26</v>
      </c>
      <c r="C40" s="14" t="n"/>
      <c r="D40" s="14" t="n"/>
      <c r="E40" s="22" t="n"/>
      <c r="F40" s="23" t="n"/>
      <c r="G40" s="24">
        <f>IF(NOT(ISNUMBER(F40)),"",IFERROR(F40/IF(AND(C40&lt;&gt;"",E40&lt;&gt;""),AVERAGEIFS(F$15:F$50,C$15:C$50,C40,E$15:E$50,E40),AVERAGE(F$15:F$50))-1,""))</f>
        <v/>
      </c>
      <c r="H40" s="23" t="n"/>
      <c r="I40" s="23" t="n"/>
      <c r="J40" s="23" t="n"/>
      <c r="K40" s="14" t="n"/>
      <c r="L40" s="23" t="n"/>
      <c r="M40" s="25" t="n"/>
      <c r="N40" s="15">
        <f>IF(COUNTA(F40,H40:M40)=0,"",IF(OR(K40="Reverse",AND(COUNT(H40:J40)&gt;0,MIN(H40:J40)&lt;LIM_INS_DC),IF(ISNUMBER(G40),ABS(G40)&gt;LIM_VOC_DEV,FALSE)),"Fail",IF(AND(ISNUMBER(F40),COUNT(H40:J40)=3,K40="OK"),"Pass","Incomplete")))</f>
        <v/>
      </c>
      <c r="O40" s="6" t="n"/>
    </row>
    <row r="41" ht="19" customHeight="1">
      <c r="B41" s="8" t="n">
        <v>27</v>
      </c>
      <c r="C41" s="14" t="n"/>
      <c r="D41" s="14" t="n"/>
      <c r="E41" s="22" t="n"/>
      <c r="F41" s="23" t="n"/>
      <c r="G41" s="24">
        <f>IF(NOT(ISNUMBER(F41)),"",IFERROR(F41/IF(AND(C41&lt;&gt;"",E41&lt;&gt;""),AVERAGEIFS(F$15:F$50,C$15:C$50,C41,E$15:E$50,E41),AVERAGE(F$15:F$50))-1,""))</f>
        <v/>
      </c>
      <c r="H41" s="23" t="n"/>
      <c r="I41" s="23" t="n"/>
      <c r="J41" s="23" t="n"/>
      <c r="K41" s="14" t="n"/>
      <c r="L41" s="23" t="n"/>
      <c r="M41" s="25" t="n"/>
      <c r="N41" s="15">
        <f>IF(COUNTA(F41,H41:M41)=0,"",IF(OR(K41="Reverse",AND(COUNT(H41:J41)&gt;0,MIN(H41:J41)&lt;LIM_INS_DC),IF(ISNUMBER(G41),ABS(G41)&gt;LIM_VOC_DEV,FALSE)),"Fail",IF(AND(ISNUMBER(F41),COUNT(H41:J41)=3,K41="OK"),"Pass","Incomplete")))</f>
        <v/>
      </c>
      <c r="O41" s="6" t="n"/>
    </row>
    <row r="42" ht="19" customHeight="1">
      <c r="B42" s="8" t="n">
        <v>28</v>
      </c>
      <c r="C42" s="14" t="n"/>
      <c r="D42" s="14" t="n"/>
      <c r="E42" s="22" t="n"/>
      <c r="F42" s="23" t="n"/>
      <c r="G42" s="24">
        <f>IF(NOT(ISNUMBER(F42)),"",IFERROR(F42/IF(AND(C42&lt;&gt;"",E42&lt;&gt;""),AVERAGEIFS(F$15:F$50,C$15:C$50,C42,E$15:E$50,E42),AVERAGE(F$15:F$50))-1,""))</f>
        <v/>
      </c>
      <c r="H42" s="23" t="n"/>
      <c r="I42" s="23" t="n"/>
      <c r="J42" s="23" t="n"/>
      <c r="K42" s="14" t="n"/>
      <c r="L42" s="23" t="n"/>
      <c r="M42" s="25" t="n"/>
      <c r="N42" s="15">
        <f>IF(COUNTA(F42,H42:M42)=0,"",IF(OR(K42="Reverse",AND(COUNT(H42:J42)&gt;0,MIN(H42:J42)&lt;LIM_INS_DC),IF(ISNUMBER(G42),ABS(G42)&gt;LIM_VOC_DEV,FALSE)),"Fail",IF(AND(ISNUMBER(F42),COUNT(H42:J42)=3,K42="OK"),"Pass","Incomplete")))</f>
        <v/>
      </c>
      <c r="O42" s="6" t="n"/>
    </row>
    <row r="43" ht="19" customHeight="1">
      <c r="B43" s="8" t="n">
        <v>29</v>
      </c>
      <c r="C43" s="14" t="n"/>
      <c r="D43" s="14" t="n"/>
      <c r="E43" s="22" t="n"/>
      <c r="F43" s="23" t="n"/>
      <c r="G43" s="24">
        <f>IF(NOT(ISNUMBER(F43)),"",IFERROR(F43/IF(AND(C43&lt;&gt;"",E43&lt;&gt;""),AVERAGEIFS(F$15:F$50,C$15:C$50,C43,E$15:E$50,E43),AVERAGE(F$15:F$50))-1,""))</f>
        <v/>
      </c>
      <c r="H43" s="23" t="n"/>
      <c r="I43" s="23" t="n"/>
      <c r="J43" s="23" t="n"/>
      <c r="K43" s="14" t="n"/>
      <c r="L43" s="23" t="n"/>
      <c r="M43" s="25" t="n"/>
      <c r="N43" s="15">
        <f>IF(COUNTA(F43,H43:M43)=0,"",IF(OR(K43="Reverse",AND(COUNT(H43:J43)&gt;0,MIN(H43:J43)&lt;LIM_INS_DC),IF(ISNUMBER(G43),ABS(G43)&gt;LIM_VOC_DEV,FALSE)),"Fail",IF(AND(ISNUMBER(F43),COUNT(H43:J43)=3,K43="OK"),"Pass","Incomplete")))</f>
        <v/>
      </c>
      <c r="O43" s="6" t="n"/>
    </row>
    <row r="44" ht="19" customHeight="1">
      <c r="B44" s="8" t="n">
        <v>30</v>
      </c>
      <c r="C44" s="14" t="n"/>
      <c r="D44" s="14" t="n"/>
      <c r="E44" s="22" t="n"/>
      <c r="F44" s="23" t="n"/>
      <c r="G44" s="24">
        <f>IF(NOT(ISNUMBER(F44)),"",IFERROR(F44/IF(AND(C44&lt;&gt;"",E44&lt;&gt;""),AVERAGEIFS(F$15:F$50,C$15:C$50,C44,E$15:E$50,E44),AVERAGE(F$15:F$50))-1,""))</f>
        <v/>
      </c>
      <c r="H44" s="23" t="n"/>
      <c r="I44" s="23" t="n"/>
      <c r="J44" s="23" t="n"/>
      <c r="K44" s="14" t="n"/>
      <c r="L44" s="23" t="n"/>
      <c r="M44" s="25" t="n"/>
      <c r="N44" s="15">
        <f>IF(COUNTA(F44,H44:M44)=0,"",IF(OR(K44="Reverse",AND(COUNT(H44:J44)&gt;0,MIN(H44:J44)&lt;LIM_INS_DC),IF(ISNUMBER(G44),ABS(G44)&gt;LIM_VOC_DEV,FALSE)),"Fail",IF(AND(ISNUMBER(F44),COUNT(H44:J44)=3,K44="OK"),"Pass","Incomplete")))</f>
        <v/>
      </c>
      <c r="O44" s="6" t="n"/>
    </row>
    <row r="45" ht="19" customHeight="1">
      <c r="B45" s="8" t="n">
        <v>31</v>
      </c>
      <c r="C45" s="14" t="n"/>
      <c r="D45" s="14" t="n"/>
      <c r="E45" s="22" t="n"/>
      <c r="F45" s="23" t="n"/>
      <c r="G45" s="24">
        <f>IF(NOT(ISNUMBER(F45)),"",IFERROR(F45/IF(AND(C45&lt;&gt;"",E45&lt;&gt;""),AVERAGEIFS(F$15:F$50,C$15:C$50,C45,E$15:E$50,E45),AVERAGE(F$15:F$50))-1,""))</f>
        <v/>
      </c>
      <c r="H45" s="23" t="n"/>
      <c r="I45" s="23" t="n"/>
      <c r="J45" s="23" t="n"/>
      <c r="K45" s="14" t="n"/>
      <c r="L45" s="23" t="n"/>
      <c r="M45" s="25" t="n"/>
      <c r="N45" s="15">
        <f>IF(COUNTA(F45,H45:M45)=0,"",IF(OR(K45="Reverse",AND(COUNT(H45:J45)&gt;0,MIN(H45:J45)&lt;LIM_INS_DC),IF(ISNUMBER(G45),ABS(G45)&gt;LIM_VOC_DEV,FALSE)),"Fail",IF(AND(ISNUMBER(F45),COUNT(H45:J45)=3,K45="OK"),"Pass","Incomplete")))</f>
        <v/>
      </c>
      <c r="O45" s="6" t="n"/>
    </row>
    <row r="46" ht="19" customHeight="1">
      <c r="B46" s="8" t="n">
        <v>32</v>
      </c>
      <c r="C46" s="14" t="n"/>
      <c r="D46" s="14" t="n"/>
      <c r="E46" s="22" t="n"/>
      <c r="F46" s="23" t="n"/>
      <c r="G46" s="24">
        <f>IF(NOT(ISNUMBER(F46)),"",IFERROR(F46/IF(AND(C46&lt;&gt;"",E46&lt;&gt;""),AVERAGEIFS(F$15:F$50,C$15:C$50,C46,E$15:E$50,E46),AVERAGE(F$15:F$50))-1,""))</f>
        <v/>
      </c>
      <c r="H46" s="23" t="n"/>
      <c r="I46" s="23" t="n"/>
      <c r="J46" s="23" t="n"/>
      <c r="K46" s="14" t="n"/>
      <c r="L46" s="23" t="n"/>
      <c r="M46" s="25" t="n"/>
      <c r="N46" s="15">
        <f>IF(COUNTA(F46,H46:M46)=0,"",IF(OR(K46="Reverse",AND(COUNT(H46:J46)&gt;0,MIN(H46:J46)&lt;LIM_INS_DC),IF(ISNUMBER(G46),ABS(G46)&gt;LIM_VOC_DEV,FALSE)),"Fail",IF(AND(ISNUMBER(F46),COUNT(H46:J46)=3,K46="OK"),"Pass","Incomplete")))</f>
        <v/>
      </c>
      <c r="O46" s="6" t="n"/>
    </row>
    <row r="47" ht="19" customHeight="1">
      <c r="B47" s="8" t="n">
        <v>33</v>
      </c>
      <c r="C47" s="14" t="n"/>
      <c r="D47" s="14" t="n"/>
      <c r="E47" s="22" t="n"/>
      <c r="F47" s="23" t="n"/>
      <c r="G47" s="24">
        <f>IF(NOT(ISNUMBER(F47)),"",IFERROR(F47/IF(AND(C47&lt;&gt;"",E47&lt;&gt;""),AVERAGEIFS(F$15:F$50,C$15:C$50,C47,E$15:E$50,E47),AVERAGE(F$15:F$50))-1,""))</f>
        <v/>
      </c>
      <c r="H47" s="23" t="n"/>
      <c r="I47" s="23" t="n"/>
      <c r="J47" s="23" t="n"/>
      <c r="K47" s="14" t="n"/>
      <c r="L47" s="23" t="n"/>
      <c r="M47" s="25" t="n"/>
      <c r="N47" s="15">
        <f>IF(COUNTA(F47,H47:M47)=0,"",IF(OR(K47="Reverse",AND(COUNT(H47:J47)&gt;0,MIN(H47:J47)&lt;LIM_INS_DC),IF(ISNUMBER(G47),ABS(G47)&gt;LIM_VOC_DEV,FALSE)),"Fail",IF(AND(ISNUMBER(F47),COUNT(H47:J47)=3,K47="OK"),"Pass","Incomplete")))</f>
        <v/>
      </c>
      <c r="O47" s="6" t="n"/>
    </row>
    <row r="48" ht="19" customHeight="1">
      <c r="B48" s="8" t="n">
        <v>34</v>
      </c>
      <c r="C48" s="14" t="n"/>
      <c r="D48" s="14" t="n"/>
      <c r="E48" s="22" t="n"/>
      <c r="F48" s="23" t="n"/>
      <c r="G48" s="24">
        <f>IF(NOT(ISNUMBER(F48)),"",IFERROR(F48/IF(AND(C48&lt;&gt;"",E48&lt;&gt;""),AVERAGEIFS(F$15:F$50,C$15:C$50,C48,E$15:E$50,E48),AVERAGE(F$15:F$50))-1,""))</f>
        <v/>
      </c>
      <c r="H48" s="23" t="n"/>
      <c r="I48" s="23" t="n"/>
      <c r="J48" s="23" t="n"/>
      <c r="K48" s="14" t="n"/>
      <c r="L48" s="23" t="n"/>
      <c r="M48" s="25" t="n"/>
      <c r="N48" s="15">
        <f>IF(COUNTA(F48,H48:M48)=0,"",IF(OR(K48="Reverse",AND(COUNT(H48:J48)&gt;0,MIN(H48:J48)&lt;LIM_INS_DC),IF(ISNUMBER(G48),ABS(G48)&gt;LIM_VOC_DEV,FALSE)),"Fail",IF(AND(ISNUMBER(F48),COUNT(H48:J48)=3,K48="OK"),"Pass","Incomplete")))</f>
        <v/>
      </c>
      <c r="O48" s="6" t="n"/>
    </row>
    <row r="49" ht="19" customHeight="1">
      <c r="B49" s="8" t="n">
        <v>35</v>
      </c>
      <c r="C49" s="14" t="n"/>
      <c r="D49" s="14" t="n"/>
      <c r="E49" s="22" t="n"/>
      <c r="F49" s="23" t="n"/>
      <c r="G49" s="24">
        <f>IF(NOT(ISNUMBER(F49)),"",IFERROR(F49/IF(AND(C49&lt;&gt;"",E49&lt;&gt;""),AVERAGEIFS(F$15:F$50,C$15:C$50,C49,E$15:E$50,E49),AVERAGE(F$15:F$50))-1,""))</f>
        <v/>
      </c>
      <c r="H49" s="23" t="n"/>
      <c r="I49" s="23" t="n"/>
      <c r="J49" s="23" t="n"/>
      <c r="K49" s="14" t="n"/>
      <c r="L49" s="23" t="n"/>
      <c r="M49" s="25" t="n"/>
      <c r="N49" s="15">
        <f>IF(COUNTA(F49,H49:M49)=0,"",IF(OR(K49="Reverse",AND(COUNT(H49:J49)&gt;0,MIN(H49:J49)&lt;LIM_INS_DC),IF(ISNUMBER(G49),ABS(G49)&gt;LIM_VOC_DEV,FALSE)),"Fail",IF(AND(ISNUMBER(F49),COUNT(H49:J49)=3,K49="OK"),"Pass","Incomplete")))</f>
        <v/>
      </c>
      <c r="O49" s="6" t="n"/>
    </row>
    <row r="50" ht="19" customHeight="1">
      <c r="B50" s="8" t="n">
        <v>36</v>
      </c>
      <c r="C50" s="14" t="n"/>
      <c r="D50" s="14" t="n"/>
      <c r="E50" s="22" t="n"/>
      <c r="F50" s="23" t="n"/>
      <c r="G50" s="24">
        <f>IF(NOT(ISNUMBER(F50)),"",IFERROR(F50/IF(AND(C50&lt;&gt;"",E50&lt;&gt;""),AVERAGEIFS(F$15:F$50,C$15:C$50,C50,E$15:E$50,E50),AVERAGE(F$15:F$50))-1,""))</f>
        <v/>
      </c>
      <c r="H50" s="23" t="n"/>
      <c r="I50" s="23" t="n"/>
      <c r="J50" s="23" t="n"/>
      <c r="K50" s="14" t="n"/>
      <c r="L50" s="23" t="n"/>
      <c r="M50" s="25" t="n"/>
      <c r="N50" s="15">
        <f>IF(COUNTA(F50,H50:M50)=0,"",IF(OR(K50="Reverse",AND(COUNT(H50:J50)&gt;0,MIN(H50:J50)&lt;LIM_INS_DC),IF(ISNUMBER(G50),ABS(G50)&gt;LIM_VOC_DEV,FALSE)),"Fail",IF(AND(ISNUMBER(F50),COUNT(H50:J50)=3,K50="OK"),"Pass","Incomplete")))</f>
        <v/>
      </c>
      <c r="O50" s="6" t="n"/>
    </row>
    <row r="52" ht="22" customHeight="1">
      <c r="B52" s="5" t="inlineStr">
        <is>
          <t>Strings — Pass</t>
        </is>
      </c>
      <c r="C52" s="5" t="n"/>
      <c r="D52" s="5" t="n"/>
      <c r="E52" s="5" t="n"/>
      <c r="F52" s="15">
        <f>COUNTIF(N15:N50,"Pass")</f>
        <v/>
      </c>
      <c r="G52" s="15" t="n"/>
      <c r="H52" s="15" t="n"/>
      <c r="I52" s="5" t="inlineStr">
        <is>
          <t>Strings — Incomplete</t>
        </is>
      </c>
      <c r="J52" s="5" t="n"/>
      <c r="K52" s="5" t="n"/>
      <c r="L52" s="15">
        <f>COUNTIF(N15:N50,"Incomplete")</f>
        <v/>
      </c>
      <c r="M52" s="15" t="n"/>
      <c r="N52" s="15" t="n"/>
      <c r="O52" s="15" t="n"/>
    </row>
    <row r="53" ht="22" customHeight="1">
      <c r="B53" s="5" t="inlineStr">
        <is>
          <t>Strings — Fail</t>
        </is>
      </c>
      <c r="C53" s="5" t="n"/>
      <c r="D53" s="5" t="n"/>
      <c r="E53" s="5" t="n"/>
      <c r="F53" s="15">
        <f>COUNTIF(N15:N50,"Fail")</f>
        <v/>
      </c>
      <c r="G53" s="15" t="n"/>
      <c r="H53" s="15" t="n"/>
    </row>
    <row r="55" ht="28" customHeight="1">
      <c r="B55" s="5" t="inlineStr">
        <is>
          <t>Officer Name</t>
        </is>
      </c>
      <c r="C55" s="5" t="n"/>
      <c r="D55" s="6" t="n"/>
      <c r="E55" s="6" t="n"/>
      <c r="F55" s="6" t="n"/>
      <c r="G55" s="6" t="n"/>
      <c r="H55" s="6" t="n"/>
      <c r="I55" s="5" t="inlineStr">
        <is>
          <t>Signature</t>
        </is>
      </c>
      <c r="J55" s="5" t="n"/>
      <c r="K55" s="6" t="n"/>
      <c r="L55" s="6" t="n"/>
      <c r="M55" s="6" t="n"/>
      <c r="N55" s="6" t="n"/>
      <c r="O55" s="6" t="n"/>
    </row>
  </sheetData>
  <mergeCells count="38">
    <mergeCell ref="B9:E9"/>
    <mergeCell ref="B4:O4"/>
    <mergeCell ref="L9:O9"/>
    <mergeCell ref="F8:H8"/>
    <mergeCell ref="L52:O52"/>
    <mergeCell ref="L13:M13"/>
    <mergeCell ref="L11:O11"/>
    <mergeCell ref="K55:O55"/>
    <mergeCell ref="B12:O12"/>
    <mergeCell ref="I52:K52"/>
    <mergeCell ref="F13:K13"/>
    <mergeCell ref="I8:K8"/>
    <mergeCell ref="B7:E7"/>
    <mergeCell ref="F9:H9"/>
    <mergeCell ref="F52:H52"/>
    <mergeCell ref="L7:O7"/>
    <mergeCell ref="I10:K10"/>
    <mergeCell ref="I55:J55"/>
    <mergeCell ref="B52:E52"/>
    <mergeCell ref="I9:K9"/>
    <mergeCell ref="B11:E11"/>
    <mergeCell ref="F53:H53"/>
    <mergeCell ref="N13:O13"/>
    <mergeCell ref="F11:H11"/>
    <mergeCell ref="B55:C55"/>
    <mergeCell ref="F10:H10"/>
    <mergeCell ref="I11:K11"/>
    <mergeCell ref="L8:O8"/>
    <mergeCell ref="B8:E8"/>
    <mergeCell ref="B53:E53"/>
    <mergeCell ref="D55:H55"/>
    <mergeCell ref="B6:O6"/>
    <mergeCell ref="B13:E13"/>
    <mergeCell ref="B2:O3"/>
    <mergeCell ref="F7:H7"/>
    <mergeCell ref="L10:O10"/>
    <mergeCell ref="B10:E10"/>
    <mergeCell ref="I7:K7"/>
  </mergeCells>
  <conditionalFormatting sqref="N15:N5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"Incomplete"</formula>
    </cfRule>
    <cfRule type="cellIs" priority="4" operator="equal" dxfId="2">
      <formula>"IN PROGRESS"</formula>
    </cfRule>
    <cfRule type="cellIs" priority="5" operator="equal" dxfId="2">
      <formula>"INCOMPLETE"</formula>
    </cfRule>
    <cfRule type="cellIs" priority="6" operator="equal" dxfId="3">
      <formula>"N/A"</formula>
    </cfRule>
  </conditionalFormatting>
  <dataValidations count="1">
    <dataValidation sqref="K15:K50" showDropDown="0" showInputMessage="0" showErrorMessage="0" allowBlank="1" type="list">
      <formula1>"OK,Reverse"</formula1>
    </dataValidation>
  </dataValidations>
  <printOptions horizontalCentered="1"/>
  <pageMargins left="0.4" right="0.4" top="0.6" bottom="0.7" header="0.25" footer="0.3"/>
  <pageSetup orientation="landscape" paperSize="9" fitToHeight="0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F4E78"/>
    <outlinePr summaryBelow="1" summaryRight="1"/>
    <pageSetUpPr fitToPage="1"/>
  </sheetPr>
  <dimension ref="B2:O5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5" customWidth="1" min="2" max="2"/>
    <col width="9" customWidth="1" min="3" max="3"/>
    <col width="9" customWidth="1" min="4" max="4"/>
    <col width="9" customWidth="1" min="5" max="5"/>
    <col width="10" customWidth="1" min="6" max="6"/>
    <col width="10" customWidth="1" min="7" max="7"/>
    <col width="11" customWidth="1" min="8" max="8"/>
    <col width="11" customWidth="1" min="9" max="9"/>
    <col width="11" customWidth="1" min="10" max="10"/>
    <col width="10" customWidth="1" min="11" max="11"/>
    <col width="11" customWidth="1" min="12" max="12"/>
    <col width="11" customWidth="1" min="13" max="13"/>
    <col width="10" customWidth="1" min="14" max="14"/>
    <col width="26" customWidth="1" min="15" max="15"/>
  </cols>
  <sheetData>
    <row r="2">
      <c r="B2" s="10" t="inlineStr">
        <is>
          <t>DC STRING TEST — INV 02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 ht="16" customHeight="1">
      <c r="B4" s="3">
        <f>"Project: "&amp;IF(Cover!$C$7="","(enter on Cover sheet)",Cover!$C$7)&amp;"     |     Regen Renewables (Pvt) Ltd."</f>
        <v/>
      </c>
    </row>
    <row r="5" ht="6" customHeight="1"/>
    <row r="6">
      <c r="B6" s="4" t="inlineStr">
        <is>
          <t>INVERTER DETAILS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 ht="22" customHeight="1">
      <c r="B7" s="5" t="inlineStr">
        <is>
          <t>Inverter No.</t>
        </is>
      </c>
      <c r="C7" s="5" t="n"/>
      <c r="D7" s="5" t="n"/>
      <c r="E7" s="5" t="n"/>
      <c r="F7" s="6" t="inlineStr">
        <is>
          <t>INV 02</t>
        </is>
      </c>
      <c r="G7" s="6" t="n"/>
      <c r="H7" s="6" t="n"/>
      <c r="I7" s="5" t="inlineStr">
        <is>
          <t>Inverter Location / Room</t>
        </is>
      </c>
      <c r="J7" s="5" t="n"/>
      <c r="K7" s="5" t="n"/>
      <c r="L7" s="6" t="n"/>
      <c r="M7" s="6" t="n"/>
      <c r="N7" s="6" t="n"/>
      <c r="O7" s="6" t="n"/>
    </row>
    <row r="8" ht="22" customHeight="1">
      <c r="B8" s="5" t="inlineStr">
        <is>
          <t>Make / Model</t>
        </is>
      </c>
      <c r="C8" s="5" t="n"/>
      <c r="D8" s="5" t="n"/>
      <c r="E8" s="5" t="n"/>
      <c r="F8" s="6" t="n"/>
      <c r="G8" s="6" t="n"/>
      <c r="H8" s="6" t="n"/>
      <c r="I8" s="5" t="inlineStr">
        <is>
          <t>Serial No.</t>
        </is>
      </c>
      <c r="J8" s="5" t="n"/>
      <c r="K8" s="5" t="n"/>
      <c r="L8" s="6" t="n"/>
      <c r="M8" s="6" t="n"/>
      <c r="N8" s="6" t="n"/>
      <c r="O8" s="6" t="n"/>
    </row>
    <row r="9" ht="22" customHeight="1">
      <c r="B9" s="5" t="inlineStr">
        <is>
          <t>Rated Capacity (kW)</t>
        </is>
      </c>
      <c r="C9" s="5" t="n"/>
      <c r="D9" s="5" t="n"/>
      <c r="E9" s="5" t="n"/>
      <c r="F9" s="6" t="n"/>
      <c r="G9" s="6" t="n"/>
      <c r="H9" s="6" t="n"/>
      <c r="I9" s="5" t="inlineStr">
        <is>
          <t>Date / Time</t>
        </is>
      </c>
      <c r="J9" s="5" t="n"/>
      <c r="K9" s="5" t="n"/>
      <c r="L9" s="6" t="n"/>
      <c r="M9" s="6" t="n"/>
      <c r="N9" s="6" t="n"/>
      <c r="O9" s="6" t="n"/>
    </row>
    <row r="10" ht="22" customHeight="1">
      <c r="B10" s="5" t="inlineStr">
        <is>
          <t>Tested By</t>
        </is>
      </c>
      <c r="C10" s="5" t="n"/>
      <c r="D10" s="5" t="n"/>
      <c r="E10" s="5" t="n"/>
      <c r="F10" s="6" t="n"/>
      <c r="G10" s="6" t="n"/>
      <c r="H10" s="6" t="n"/>
      <c r="I10" s="5" t="inlineStr">
        <is>
          <t>Weather / Irradiance (W/m²)</t>
        </is>
      </c>
      <c r="J10" s="5" t="n"/>
      <c r="K10" s="5" t="n"/>
      <c r="L10" s="6" t="n"/>
      <c r="M10" s="6" t="n"/>
      <c r="N10" s="6" t="n"/>
      <c r="O10" s="6" t="n"/>
    </row>
    <row r="11" ht="22" customHeight="1">
      <c r="B11" s="5" t="inlineStr">
        <is>
          <t>Total Strings Listed</t>
        </is>
      </c>
      <c r="C11" s="5" t="n"/>
      <c r="D11" s="5" t="n"/>
      <c r="E11" s="5" t="n"/>
      <c r="F11" s="15">
        <f>COUNT(E15:E50)</f>
        <v/>
      </c>
      <c r="G11" s="15" t="n"/>
      <c r="H11" s="15" t="n"/>
      <c r="I11" s="5" t="inlineStr">
        <is>
          <t>Total PV Modules</t>
        </is>
      </c>
      <c r="J11" s="5" t="n"/>
      <c r="K11" s="5" t="n"/>
      <c r="L11" s="15">
        <f>SUM(E15:E50)</f>
        <v/>
      </c>
      <c r="M11" s="15" t="n"/>
      <c r="N11" s="15" t="n"/>
      <c r="O11" s="15" t="n"/>
    </row>
    <row r="12">
      <c r="B12" s="4" t="inlineStr">
        <is>
          <t>STRING TESTS  —  each string is entered ONCE (MPPT / string / module count are not repeated)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 ht="20" customHeight="1">
      <c r="B13" s="21" t="inlineStr">
        <is>
          <t>STRING DETAILS</t>
        </is>
      </c>
      <c r="C13" s="21" t="n"/>
      <c r="D13" s="21" t="n"/>
      <c r="E13" s="21" t="n"/>
      <c r="F13" s="21" t="inlineStr">
        <is>
          <t>NO-LOAD  (before energising)</t>
        </is>
      </c>
      <c r="G13" s="21" t="n"/>
      <c r="H13" s="21" t="n"/>
      <c r="I13" s="21" t="n"/>
      <c r="J13" s="21" t="n"/>
      <c r="K13" s="21" t="n"/>
      <c r="L13" s="21" t="inlineStr">
        <is>
          <t>ON-LOAD</t>
        </is>
      </c>
      <c r="M13" s="21" t="n"/>
      <c r="N13" s="21" t="inlineStr">
        <is>
          <t>RESULT</t>
        </is>
      </c>
      <c r="O13" s="21" t="n"/>
    </row>
    <row r="14" ht="46" customHeight="1">
      <c r="B14" s="13" t="inlineStr">
        <is>
          <t>No.</t>
        </is>
      </c>
      <c r="C14" s="13" t="inlineStr">
        <is>
          <t>MPPT</t>
        </is>
      </c>
      <c r="D14" s="13" t="inlineStr">
        <is>
          <t>String</t>
        </is>
      </c>
      <c r="E14" s="13" t="inlineStr">
        <is>
          <t>PV Modules</t>
        </is>
      </c>
      <c r="F14" s="13" t="inlineStr">
        <is>
          <t>Voc (V)</t>
        </is>
      </c>
      <c r="G14" s="13" t="inlineStr">
        <is>
          <t>Voc dev. vs group</t>
        </is>
      </c>
      <c r="H14" s="13" t="inlineStr">
        <is>
          <t>Insulation + to Earth (MΩ)</t>
        </is>
      </c>
      <c r="I14" s="13" t="inlineStr">
        <is>
          <t>Insulation – to Earth (MΩ)</t>
        </is>
      </c>
      <c r="J14" s="13" t="inlineStr">
        <is>
          <t>Insulation + to – (MΩ)</t>
        </is>
      </c>
      <c r="K14" s="13" t="inlineStr">
        <is>
          <t>Polarity</t>
        </is>
      </c>
      <c r="L14" s="13" t="inlineStr">
        <is>
          <t>Operating Voltage (V)</t>
        </is>
      </c>
      <c r="M14" s="13" t="inlineStr">
        <is>
          <t>String Current (A)</t>
        </is>
      </c>
      <c r="N14" s="13" t="inlineStr">
        <is>
          <t>Result</t>
        </is>
      </c>
      <c r="O14" s="13" t="inlineStr">
        <is>
          <t>Remarks</t>
        </is>
      </c>
    </row>
    <row r="15" ht="19" customHeight="1">
      <c r="B15" s="8" t="n">
        <v>1</v>
      </c>
      <c r="C15" s="14" t="n"/>
      <c r="D15" s="14" t="n"/>
      <c r="E15" s="22" t="n"/>
      <c r="F15" s="23" t="n"/>
      <c r="G15" s="24">
        <f>IF(NOT(ISNUMBER(F15)),"",IFERROR(F15/IF(AND(C15&lt;&gt;"",E15&lt;&gt;""),AVERAGEIFS(F$15:F$50,C$15:C$50,C15,E$15:E$50,E15),AVERAGE(F$15:F$50))-1,""))</f>
        <v/>
      </c>
      <c r="H15" s="23" t="n"/>
      <c r="I15" s="23" t="n"/>
      <c r="J15" s="23" t="n"/>
      <c r="K15" s="14" t="n"/>
      <c r="L15" s="23" t="n"/>
      <c r="M15" s="25" t="n"/>
      <c r="N15" s="15">
        <f>IF(COUNTA(F15,H15:M15)=0,"",IF(OR(K15="Reverse",AND(COUNT(H15:J15)&gt;0,MIN(H15:J15)&lt;LIM_INS_DC),IF(ISNUMBER(G15),ABS(G15)&gt;LIM_VOC_DEV,FALSE)),"Fail",IF(AND(ISNUMBER(F15),COUNT(H15:J15)=3,K15="OK"),"Pass","Incomplete")))</f>
        <v/>
      </c>
      <c r="O15" s="6" t="n"/>
    </row>
    <row r="16" ht="19" customHeight="1">
      <c r="B16" s="8" t="n">
        <v>2</v>
      </c>
      <c r="C16" s="14" t="n"/>
      <c r="D16" s="14" t="n"/>
      <c r="E16" s="22" t="n"/>
      <c r="F16" s="23" t="n"/>
      <c r="G16" s="24">
        <f>IF(NOT(ISNUMBER(F16)),"",IFERROR(F16/IF(AND(C16&lt;&gt;"",E16&lt;&gt;""),AVERAGEIFS(F$15:F$50,C$15:C$50,C16,E$15:E$50,E16),AVERAGE(F$15:F$50))-1,""))</f>
        <v/>
      </c>
      <c r="H16" s="23" t="n"/>
      <c r="I16" s="23" t="n"/>
      <c r="J16" s="23" t="n"/>
      <c r="K16" s="14" t="n"/>
      <c r="L16" s="23" t="n"/>
      <c r="M16" s="25" t="n"/>
      <c r="N16" s="15">
        <f>IF(COUNTA(F16,H16:M16)=0,"",IF(OR(K16="Reverse",AND(COUNT(H16:J16)&gt;0,MIN(H16:J16)&lt;LIM_INS_DC),IF(ISNUMBER(G16),ABS(G16)&gt;LIM_VOC_DEV,FALSE)),"Fail",IF(AND(ISNUMBER(F16),COUNT(H16:J16)=3,K16="OK"),"Pass","Incomplete")))</f>
        <v/>
      </c>
      <c r="O16" s="6" t="n"/>
    </row>
    <row r="17" ht="19" customHeight="1">
      <c r="B17" s="8" t="n">
        <v>3</v>
      </c>
      <c r="C17" s="14" t="n"/>
      <c r="D17" s="14" t="n"/>
      <c r="E17" s="22" t="n"/>
      <c r="F17" s="23" t="n"/>
      <c r="G17" s="24">
        <f>IF(NOT(ISNUMBER(F17)),"",IFERROR(F17/IF(AND(C17&lt;&gt;"",E17&lt;&gt;""),AVERAGEIFS(F$15:F$50,C$15:C$50,C17,E$15:E$50,E17),AVERAGE(F$15:F$50))-1,""))</f>
        <v/>
      </c>
      <c r="H17" s="23" t="n"/>
      <c r="I17" s="23" t="n"/>
      <c r="J17" s="23" t="n"/>
      <c r="K17" s="14" t="n"/>
      <c r="L17" s="23" t="n"/>
      <c r="M17" s="25" t="n"/>
      <c r="N17" s="15">
        <f>IF(COUNTA(F17,H17:M17)=0,"",IF(OR(K17="Reverse",AND(COUNT(H17:J17)&gt;0,MIN(H17:J17)&lt;LIM_INS_DC),IF(ISNUMBER(G17),ABS(G17)&gt;LIM_VOC_DEV,FALSE)),"Fail",IF(AND(ISNUMBER(F17),COUNT(H17:J17)=3,K17="OK"),"Pass","Incomplete")))</f>
        <v/>
      </c>
      <c r="O17" s="6" t="n"/>
    </row>
    <row r="18" ht="19" customHeight="1">
      <c r="B18" s="8" t="n">
        <v>4</v>
      </c>
      <c r="C18" s="14" t="n"/>
      <c r="D18" s="14" t="n"/>
      <c r="E18" s="22" t="n"/>
      <c r="F18" s="23" t="n"/>
      <c r="G18" s="24">
        <f>IF(NOT(ISNUMBER(F18)),"",IFERROR(F18/IF(AND(C18&lt;&gt;"",E18&lt;&gt;""),AVERAGEIFS(F$15:F$50,C$15:C$50,C18,E$15:E$50,E18),AVERAGE(F$15:F$50))-1,""))</f>
        <v/>
      </c>
      <c r="H18" s="23" t="n"/>
      <c r="I18" s="23" t="n"/>
      <c r="J18" s="23" t="n"/>
      <c r="K18" s="14" t="n"/>
      <c r="L18" s="23" t="n"/>
      <c r="M18" s="25" t="n"/>
      <c r="N18" s="15">
        <f>IF(COUNTA(F18,H18:M18)=0,"",IF(OR(K18="Reverse",AND(COUNT(H18:J18)&gt;0,MIN(H18:J18)&lt;LIM_INS_DC),IF(ISNUMBER(G18),ABS(G18)&gt;LIM_VOC_DEV,FALSE)),"Fail",IF(AND(ISNUMBER(F18),COUNT(H18:J18)=3,K18="OK"),"Pass","Incomplete")))</f>
        <v/>
      </c>
      <c r="O18" s="6" t="n"/>
    </row>
    <row r="19" ht="19" customHeight="1">
      <c r="B19" s="8" t="n">
        <v>5</v>
      </c>
      <c r="C19" s="14" t="n"/>
      <c r="D19" s="14" t="n"/>
      <c r="E19" s="22" t="n"/>
      <c r="F19" s="23" t="n"/>
      <c r="G19" s="24">
        <f>IF(NOT(ISNUMBER(F19)),"",IFERROR(F19/IF(AND(C19&lt;&gt;"",E19&lt;&gt;""),AVERAGEIFS(F$15:F$50,C$15:C$50,C19,E$15:E$50,E19),AVERAGE(F$15:F$50))-1,""))</f>
        <v/>
      </c>
      <c r="H19" s="23" t="n"/>
      <c r="I19" s="23" t="n"/>
      <c r="J19" s="23" t="n"/>
      <c r="K19" s="14" t="n"/>
      <c r="L19" s="23" t="n"/>
      <c r="M19" s="25" t="n"/>
      <c r="N19" s="15">
        <f>IF(COUNTA(F19,H19:M19)=0,"",IF(OR(K19="Reverse",AND(COUNT(H19:J19)&gt;0,MIN(H19:J19)&lt;LIM_INS_DC),IF(ISNUMBER(G19),ABS(G19)&gt;LIM_VOC_DEV,FALSE)),"Fail",IF(AND(ISNUMBER(F19),COUNT(H19:J19)=3,K19="OK"),"Pass","Incomplete")))</f>
        <v/>
      </c>
      <c r="O19" s="6" t="n"/>
    </row>
    <row r="20" ht="19" customHeight="1">
      <c r="B20" s="8" t="n">
        <v>6</v>
      </c>
      <c r="C20" s="14" t="n"/>
      <c r="D20" s="14" t="n"/>
      <c r="E20" s="22" t="n"/>
      <c r="F20" s="23" t="n"/>
      <c r="G20" s="24">
        <f>IF(NOT(ISNUMBER(F20)),"",IFERROR(F20/IF(AND(C20&lt;&gt;"",E20&lt;&gt;""),AVERAGEIFS(F$15:F$50,C$15:C$50,C20,E$15:E$50,E20),AVERAGE(F$15:F$50))-1,""))</f>
        <v/>
      </c>
      <c r="H20" s="23" t="n"/>
      <c r="I20" s="23" t="n"/>
      <c r="J20" s="23" t="n"/>
      <c r="K20" s="14" t="n"/>
      <c r="L20" s="23" t="n"/>
      <c r="M20" s="25" t="n"/>
      <c r="N20" s="15">
        <f>IF(COUNTA(F20,H20:M20)=0,"",IF(OR(K20="Reverse",AND(COUNT(H20:J20)&gt;0,MIN(H20:J20)&lt;LIM_INS_DC),IF(ISNUMBER(G20),ABS(G20)&gt;LIM_VOC_DEV,FALSE)),"Fail",IF(AND(ISNUMBER(F20),COUNT(H20:J20)=3,K20="OK"),"Pass","Incomplete")))</f>
        <v/>
      </c>
      <c r="O20" s="6" t="n"/>
    </row>
    <row r="21" ht="19" customHeight="1">
      <c r="B21" s="8" t="n">
        <v>7</v>
      </c>
      <c r="C21" s="14" t="n"/>
      <c r="D21" s="14" t="n"/>
      <c r="E21" s="22" t="n"/>
      <c r="F21" s="23" t="n"/>
      <c r="G21" s="24">
        <f>IF(NOT(ISNUMBER(F21)),"",IFERROR(F21/IF(AND(C21&lt;&gt;"",E21&lt;&gt;""),AVERAGEIFS(F$15:F$50,C$15:C$50,C21,E$15:E$50,E21),AVERAGE(F$15:F$50))-1,""))</f>
        <v/>
      </c>
      <c r="H21" s="23" t="n"/>
      <c r="I21" s="23" t="n"/>
      <c r="J21" s="23" t="n"/>
      <c r="K21" s="14" t="n"/>
      <c r="L21" s="23" t="n"/>
      <c r="M21" s="25" t="n"/>
      <c r="N21" s="15">
        <f>IF(COUNTA(F21,H21:M21)=0,"",IF(OR(K21="Reverse",AND(COUNT(H21:J21)&gt;0,MIN(H21:J21)&lt;LIM_INS_DC),IF(ISNUMBER(G21),ABS(G21)&gt;LIM_VOC_DEV,FALSE)),"Fail",IF(AND(ISNUMBER(F21),COUNT(H21:J21)=3,K21="OK"),"Pass","Incomplete")))</f>
        <v/>
      </c>
      <c r="O21" s="6" t="n"/>
    </row>
    <row r="22" ht="19" customHeight="1">
      <c r="B22" s="8" t="n">
        <v>8</v>
      </c>
      <c r="C22" s="14" t="n"/>
      <c r="D22" s="14" t="n"/>
      <c r="E22" s="22" t="n"/>
      <c r="F22" s="23" t="n"/>
      <c r="G22" s="24">
        <f>IF(NOT(ISNUMBER(F22)),"",IFERROR(F22/IF(AND(C22&lt;&gt;"",E22&lt;&gt;""),AVERAGEIFS(F$15:F$50,C$15:C$50,C22,E$15:E$50,E22),AVERAGE(F$15:F$50))-1,""))</f>
        <v/>
      </c>
      <c r="H22" s="23" t="n"/>
      <c r="I22" s="23" t="n"/>
      <c r="J22" s="23" t="n"/>
      <c r="K22" s="14" t="n"/>
      <c r="L22" s="23" t="n"/>
      <c r="M22" s="25" t="n"/>
      <c r="N22" s="15">
        <f>IF(COUNTA(F22,H22:M22)=0,"",IF(OR(K22="Reverse",AND(COUNT(H22:J22)&gt;0,MIN(H22:J22)&lt;LIM_INS_DC),IF(ISNUMBER(G22),ABS(G22)&gt;LIM_VOC_DEV,FALSE)),"Fail",IF(AND(ISNUMBER(F22),COUNT(H22:J22)=3,K22="OK"),"Pass","Incomplete")))</f>
        <v/>
      </c>
      <c r="O22" s="6" t="n"/>
    </row>
    <row r="23" ht="19" customHeight="1">
      <c r="B23" s="8" t="n">
        <v>9</v>
      </c>
      <c r="C23" s="14" t="n"/>
      <c r="D23" s="14" t="n"/>
      <c r="E23" s="22" t="n"/>
      <c r="F23" s="23" t="n"/>
      <c r="G23" s="24">
        <f>IF(NOT(ISNUMBER(F23)),"",IFERROR(F23/IF(AND(C23&lt;&gt;"",E23&lt;&gt;""),AVERAGEIFS(F$15:F$50,C$15:C$50,C23,E$15:E$50,E23),AVERAGE(F$15:F$50))-1,""))</f>
        <v/>
      </c>
      <c r="H23" s="23" t="n"/>
      <c r="I23" s="23" t="n"/>
      <c r="J23" s="23" t="n"/>
      <c r="K23" s="14" t="n"/>
      <c r="L23" s="23" t="n"/>
      <c r="M23" s="25" t="n"/>
      <c r="N23" s="15">
        <f>IF(COUNTA(F23,H23:M23)=0,"",IF(OR(K23="Reverse",AND(COUNT(H23:J23)&gt;0,MIN(H23:J23)&lt;LIM_INS_DC),IF(ISNUMBER(G23),ABS(G23)&gt;LIM_VOC_DEV,FALSE)),"Fail",IF(AND(ISNUMBER(F23),COUNT(H23:J23)=3,K23="OK"),"Pass","Incomplete")))</f>
        <v/>
      </c>
      <c r="O23" s="6" t="n"/>
    </row>
    <row r="24" ht="19" customHeight="1">
      <c r="B24" s="8" t="n">
        <v>10</v>
      </c>
      <c r="C24" s="14" t="n"/>
      <c r="D24" s="14" t="n"/>
      <c r="E24" s="22" t="n"/>
      <c r="F24" s="23" t="n"/>
      <c r="G24" s="24">
        <f>IF(NOT(ISNUMBER(F24)),"",IFERROR(F24/IF(AND(C24&lt;&gt;"",E24&lt;&gt;""),AVERAGEIFS(F$15:F$50,C$15:C$50,C24,E$15:E$50,E24),AVERAGE(F$15:F$50))-1,""))</f>
        <v/>
      </c>
      <c r="H24" s="23" t="n"/>
      <c r="I24" s="23" t="n"/>
      <c r="J24" s="23" t="n"/>
      <c r="K24" s="14" t="n"/>
      <c r="L24" s="23" t="n"/>
      <c r="M24" s="25" t="n"/>
      <c r="N24" s="15">
        <f>IF(COUNTA(F24,H24:M24)=0,"",IF(OR(K24="Reverse",AND(COUNT(H24:J24)&gt;0,MIN(H24:J24)&lt;LIM_INS_DC),IF(ISNUMBER(G24),ABS(G24)&gt;LIM_VOC_DEV,FALSE)),"Fail",IF(AND(ISNUMBER(F24),COUNT(H24:J24)=3,K24="OK"),"Pass","Incomplete")))</f>
        <v/>
      </c>
      <c r="O24" s="6" t="n"/>
    </row>
    <row r="25" ht="19" customHeight="1">
      <c r="B25" s="8" t="n">
        <v>11</v>
      </c>
      <c r="C25" s="14" t="n"/>
      <c r="D25" s="14" t="n"/>
      <c r="E25" s="22" t="n"/>
      <c r="F25" s="23" t="n"/>
      <c r="G25" s="24">
        <f>IF(NOT(ISNUMBER(F25)),"",IFERROR(F25/IF(AND(C25&lt;&gt;"",E25&lt;&gt;""),AVERAGEIFS(F$15:F$50,C$15:C$50,C25,E$15:E$50,E25),AVERAGE(F$15:F$50))-1,""))</f>
        <v/>
      </c>
      <c r="H25" s="23" t="n"/>
      <c r="I25" s="23" t="n"/>
      <c r="J25" s="23" t="n"/>
      <c r="K25" s="14" t="n"/>
      <c r="L25" s="23" t="n"/>
      <c r="M25" s="25" t="n"/>
      <c r="N25" s="15">
        <f>IF(COUNTA(F25,H25:M25)=0,"",IF(OR(K25="Reverse",AND(COUNT(H25:J25)&gt;0,MIN(H25:J25)&lt;LIM_INS_DC),IF(ISNUMBER(G25),ABS(G25)&gt;LIM_VOC_DEV,FALSE)),"Fail",IF(AND(ISNUMBER(F25),COUNT(H25:J25)=3,K25="OK"),"Pass","Incomplete")))</f>
        <v/>
      </c>
      <c r="O25" s="6" t="n"/>
    </row>
    <row r="26" ht="19" customHeight="1">
      <c r="B26" s="8" t="n">
        <v>12</v>
      </c>
      <c r="C26" s="14" t="n"/>
      <c r="D26" s="14" t="n"/>
      <c r="E26" s="22" t="n"/>
      <c r="F26" s="23" t="n"/>
      <c r="G26" s="24">
        <f>IF(NOT(ISNUMBER(F26)),"",IFERROR(F26/IF(AND(C26&lt;&gt;"",E26&lt;&gt;""),AVERAGEIFS(F$15:F$50,C$15:C$50,C26,E$15:E$50,E26),AVERAGE(F$15:F$50))-1,""))</f>
        <v/>
      </c>
      <c r="H26" s="23" t="n"/>
      <c r="I26" s="23" t="n"/>
      <c r="J26" s="23" t="n"/>
      <c r="K26" s="14" t="n"/>
      <c r="L26" s="23" t="n"/>
      <c r="M26" s="25" t="n"/>
      <c r="N26" s="15">
        <f>IF(COUNTA(F26,H26:M26)=0,"",IF(OR(K26="Reverse",AND(COUNT(H26:J26)&gt;0,MIN(H26:J26)&lt;LIM_INS_DC),IF(ISNUMBER(G26),ABS(G26)&gt;LIM_VOC_DEV,FALSE)),"Fail",IF(AND(ISNUMBER(F26),COUNT(H26:J26)=3,K26="OK"),"Pass","Incomplete")))</f>
        <v/>
      </c>
      <c r="O26" s="6" t="n"/>
    </row>
    <row r="27" ht="19" customHeight="1">
      <c r="B27" s="8" t="n">
        <v>13</v>
      </c>
      <c r="C27" s="14" t="n"/>
      <c r="D27" s="14" t="n"/>
      <c r="E27" s="22" t="n"/>
      <c r="F27" s="23" t="n"/>
      <c r="G27" s="24">
        <f>IF(NOT(ISNUMBER(F27)),"",IFERROR(F27/IF(AND(C27&lt;&gt;"",E27&lt;&gt;""),AVERAGEIFS(F$15:F$50,C$15:C$50,C27,E$15:E$50,E27),AVERAGE(F$15:F$50))-1,""))</f>
        <v/>
      </c>
      <c r="H27" s="23" t="n"/>
      <c r="I27" s="23" t="n"/>
      <c r="J27" s="23" t="n"/>
      <c r="K27" s="14" t="n"/>
      <c r="L27" s="23" t="n"/>
      <c r="M27" s="25" t="n"/>
      <c r="N27" s="15">
        <f>IF(COUNTA(F27,H27:M27)=0,"",IF(OR(K27="Reverse",AND(COUNT(H27:J27)&gt;0,MIN(H27:J27)&lt;LIM_INS_DC),IF(ISNUMBER(G27),ABS(G27)&gt;LIM_VOC_DEV,FALSE)),"Fail",IF(AND(ISNUMBER(F27),COUNT(H27:J27)=3,K27="OK"),"Pass","Incomplete")))</f>
        <v/>
      </c>
      <c r="O27" s="6" t="n"/>
    </row>
    <row r="28" ht="19" customHeight="1">
      <c r="B28" s="8" t="n">
        <v>14</v>
      </c>
      <c r="C28" s="14" t="n"/>
      <c r="D28" s="14" t="n"/>
      <c r="E28" s="22" t="n"/>
      <c r="F28" s="23" t="n"/>
      <c r="G28" s="24">
        <f>IF(NOT(ISNUMBER(F28)),"",IFERROR(F28/IF(AND(C28&lt;&gt;"",E28&lt;&gt;""),AVERAGEIFS(F$15:F$50,C$15:C$50,C28,E$15:E$50,E28),AVERAGE(F$15:F$50))-1,""))</f>
        <v/>
      </c>
      <c r="H28" s="23" t="n"/>
      <c r="I28" s="23" t="n"/>
      <c r="J28" s="23" t="n"/>
      <c r="K28" s="14" t="n"/>
      <c r="L28" s="23" t="n"/>
      <c r="M28" s="25" t="n"/>
      <c r="N28" s="15">
        <f>IF(COUNTA(F28,H28:M28)=0,"",IF(OR(K28="Reverse",AND(COUNT(H28:J28)&gt;0,MIN(H28:J28)&lt;LIM_INS_DC),IF(ISNUMBER(G28),ABS(G28)&gt;LIM_VOC_DEV,FALSE)),"Fail",IF(AND(ISNUMBER(F28),COUNT(H28:J28)=3,K28="OK"),"Pass","Incomplete")))</f>
        <v/>
      </c>
      <c r="O28" s="6" t="n"/>
    </row>
    <row r="29" ht="19" customHeight="1">
      <c r="B29" s="8" t="n">
        <v>15</v>
      </c>
      <c r="C29" s="14" t="n"/>
      <c r="D29" s="14" t="n"/>
      <c r="E29" s="22" t="n"/>
      <c r="F29" s="23" t="n"/>
      <c r="G29" s="24">
        <f>IF(NOT(ISNUMBER(F29)),"",IFERROR(F29/IF(AND(C29&lt;&gt;"",E29&lt;&gt;""),AVERAGEIFS(F$15:F$50,C$15:C$50,C29,E$15:E$50,E29),AVERAGE(F$15:F$50))-1,""))</f>
        <v/>
      </c>
      <c r="H29" s="23" t="n"/>
      <c r="I29" s="23" t="n"/>
      <c r="J29" s="23" t="n"/>
      <c r="K29" s="14" t="n"/>
      <c r="L29" s="23" t="n"/>
      <c r="M29" s="25" t="n"/>
      <c r="N29" s="15">
        <f>IF(COUNTA(F29,H29:M29)=0,"",IF(OR(K29="Reverse",AND(COUNT(H29:J29)&gt;0,MIN(H29:J29)&lt;LIM_INS_DC),IF(ISNUMBER(G29),ABS(G29)&gt;LIM_VOC_DEV,FALSE)),"Fail",IF(AND(ISNUMBER(F29),COUNT(H29:J29)=3,K29="OK"),"Pass","Incomplete")))</f>
        <v/>
      </c>
      <c r="O29" s="6" t="n"/>
    </row>
    <row r="30" ht="19" customHeight="1">
      <c r="B30" s="8" t="n">
        <v>16</v>
      </c>
      <c r="C30" s="14" t="n"/>
      <c r="D30" s="14" t="n"/>
      <c r="E30" s="22" t="n"/>
      <c r="F30" s="23" t="n"/>
      <c r="G30" s="24">
        <f>IF(NOT(ISNUMBER(F30)),"",IFERROR(F30/IF(AND(C30&lt;&gt;"",E30&lt;&gt;""),AVERAGEIFS(F$15:F$50,C$15:C$50,C30,E$15:E$50,E30),AVERAGE(F$15:F$50))-1,""))</f>
        <v/>
      </c>
      <c r="H30" s="23" t="n"/>
      <c r="I30" s="23" t="n"/>
      <c r="J30" s="23" t="n"/>
      <c r="K30" s="14" t="n"/>
      <c r="L30" s="23" t="n"/>
      <c r="M30" s="25" t="n"/>
      <c r="N30" s="15">
        <f>IF(COUNTA(F30,H30:M30)=0,"",IF(OR(K30="Reverse",AND(COUNT(H30:J30)&gt;0,MIN(H30:J30)&lt;LIM_INS_DC),IF(ISNUMBER(G30),ABS(G30)&gt;LIM_VOC_DEV,FALSE)),"Fail",IF(AND(ISNUMBER(F30),COUNT(H30:J30)=3,K30="OK"),"Pass","Incomplete")))</f>
        <v/>
      </c>
      <c r="O30" s="6" t="n"/>
    </row>
    <row r="31" ht="19" customHeight="1">
      <c r="B31" s="8" t="n">
        <v>17</v>
      </c>
      <c r="C31" s="14" t="n"/>
      <c r="D31" s="14" t="n"/>
      <c r="E31" s="22" t="n"/>
      <c r="F31" s="23" t="n"/>
      <c r="G31" s="24">
        <f>IF(NOT(ISNUMBER(F31)),"",IFERROR(F31/IF(AND(C31&lt;&gt;"",E31&lt;&gt;""),AVERAGEIFS(F$15:F$50,C$15:C$50,C31,E$15:E$50,E31),AVERAGE(F$15:F$50))-1,""))</f>
        <v/>
      </c>
      <c r="H31" s="23" t="n"/>
      <c r="I31" s="23" t="n"/>
      <c r="J31" s="23" t="n"/>
      <c r="K31" s="14" t="n"/>
      <c r="L31" s="23" t="n"/>
      <c r="M31" s="25" t="n"/>
      <c r="N31" s="15">
        <f>IF(COUNTA(F31,H31:M31)=0,"",IF(OR(K31="Reverse",AND(COUNT(H31:J31)&gt;0,MIN(H31:J31)&lt;LIM_INS_DC),IF(ISNUMBER(G31),ABS(G31)&gt;LIM_VOC_DEV,FALSE)),"Fail",IF(AND(ISNUMBER(F31),COUNT(H31:J31)=3,K31="OK"),"Pass","Incomplete")))</f>
        <v/>
      </c>
      <c r="O31" s="6" t="n"/>
    </row>
    <row r="32" ht="19" customHeight="1">
      <c r="B32" s="8" t="n">
        <v>18</v>
      </c>
      <c r="C32" s="14" t="n"/>
      <c r="D32" s="14" t="n"/>
      <c r="E32" s="22" t="n"/>
      <c r="F32" s="23" t="n"/>
      <c r="G32" s="24">
        <f>IF(NOT(ISNUMBER(F32)),"",IFERROR(F32/IF(AND(C32&lt;&gt;"",E32&lt;&gt;""),AVERAGEIFS(F$15:F$50,C$15:C$50,C32,E$15:E$50,E32),AVERAGE(F$15:F$50))-1,""))</f>
        <v/>
      </c>
      <c r="H32" s="23" t="n"/>
      <c r="I32" s="23" t="n"/>
      <c r="J32" s="23" t="n"/>
      <c r="K32" s="14" t="n"/>
      <c r="L32" s="23" t="n"/>
      <c r="M32" s="25" t="n"/>
      <c r="N32" s="15">
        <f>IF(COUNTA(F32,H32:M32)=0,"",IF(OR(K32="Reverse",AND(COUNT(H32:J32)&gt;0,MIN(H32:J32)&lt;LIM_INS_DC),IF(ISNUMBER(G32),ABS(G32)&gt;LIM_VOC_DEV,FALSE)),"Fail",IF(AND(ISNUMBER(F32),COUNT(H32:J32)=3,K32="OK"),"Pass","Incomplete")))</f>
        <v/>
      </c>
      <c r="O32" s="6" t="n"/>
    </row>
    <row r="33" ht="19" customHeight="1">
      <c r="B33" s="8" t="n">
        <v>19</v>
      </c>
      <c r="C33" s="14" t="n"/>
      <c r="D33" s="14" t="n"/>
      <c r="E33" s="22" t="n"/>
      <c r="F33" s="23" t="n"/>
      <c r="G33" s="24">
        <f>IF(NOT(ISNUMBER(F33)),"",IFERROR(F33/IF(AND(C33&lt;&gt;"",E33&lt;&gt;""),AVERAGEIFS(F$15:F$50,C$15:C$50,C33,E$15:E$50,E33),AVERAGE(F$15:F$50))-1,""))</f>
        <v/>
      </c>
      <c r="H33" s="23" t="n"/>
      <c r="I33" s="23" t="n"/>
      <c r="J33" s="23" t="n"/>
      <c r="K33" s="14" t="n"/>
      <c r="L33" s="23" t="n"/>
      <c r="M33" s="25" t="n"/>
      <c r="N33" s="15">
        <f>IF(COUNTA(F33,H33:M33)=0,"",IF(OR(K33="Reverse",AND(COUNT(H33:J33)&gt;0,MIN(H33:J33)&lt;LIM_INS_DC),IF(ISNUMBER(G33),ABS(G33)&gt;LIM_VOC_DEV,FALSE)),"Fail",IF(AND(ISNUMBER(F33),COUNT(H33:J33)=3,K33="OK"),"Pass","Incomplete")))</f>
        <v/>
      </c>
      <c r="O33" s="6" t="n"/>
    </row>
    <row r="34" ht="19" customHeight="1">
      <c r="B34" s="8" t="n">
        <v>20</v>
      </c>
      <c r="C34" s="14" t="n"/>
      <c r="D34" s="14" t="n"/>
      <c r="E34" s="22" t="n"/>
      <c r="F34" s="23" t="n"/>
      <c r="G34" s="24">
        <f>IF(NOT(ISNUMBER(F34)),"",IFERROR(F34/IF(AND(C34&lt;&gt;"",E34&lt;&gt;""),AVERAGEIFS(F$15:F$50,C$15:C$50,C34,E$15:E$50,E34),AVERAGE(F$15:F$50))-1,""))</f>
        <v/>
      </c>
      <c r="H34" s="23" t="n"/>
      <c r="I34" s="23" t="n"/>
      <c r="J34" s="23" t="n"/>
      <c r="K34" s="14" t="n"/>
      <c r="L34" s="23" t="n"/>
      <c r="M34" s="25" t="n"/>
      <c r="N34" s="15">
        <f>IF(COUNTA(F34,H34:M34)=0,"",IF(OR(K34="Reverse",AND(COUNT(H34:J34)&gt;0,MIN(H34:J34)&lt;LIM_INS_DC),IF(ISNUMBER(G34),ABS(G34)&gt;LIM_VOC_DEV,FALSE)),"Fail",IF(AND(ISNUMBER(F34),COUNT(H34:J34)=3,K34="OK"),"Pass","Incomplete")))</f>
        <v/>
      </c>
      <c r="O34" s="6" t="n"/>
    </row>
    <row r="35" ht="19" customHeight="1">
      <c r="B35" s="8" t="n">
        <v>21</v>
      </c>
      <c r="C35" s="14" t="n"/>
      <c r="D35" s="14" t="n"/>
      <c r="E35" s="22" t="n"/>
      <c r="F35" s="23" t="n"/>
      <c r="G35" s="24">
        <f>IF(NOT(ISNUMBER(F35)),"",IFERROR(F35/IF(AND(C35&lt;&gt;"",E35&lt;&gt;""),AVERAGEIFS(F$15:F$50,C$15:C$50,C35,E$15:E$50,E35),AVERAGE(F$15:F$50))-1,""))</f>
        <v/>
      </c>
      <c r="H35" s="23" t="n"/>
      <c r="I35" s="23" t="n"/>
      <c r="J35" s="23" t="n"/>
      <c r="K35" s="14" t="n"/>
      <c r="L35" s="23" t="n"/>
      <c r="M35" s="25" t="n"/>
      <c r="N35" s="15">
        <f>IF(COUNTA(F35,H35:M35)=0,"",IF(OR(K35="Reverse",AND(COUNT(H35:J35)&gt;0,MIN(H35:J35)&lt;LIM_INS_DC),IF(ISNUMBER(G35),ABS(G35)&gt;LIM_VOC_DEV,FALSE)),"Fail",IF(AND(ISNUMBER(F35),COUNT(H35:J35)=3,K35="OK"),"Pass","Incomplete")))</f>
        <v/>
      </c>
      <c r="O35" s="6" t="n"/>
    </row>
    <row r="36" ht="19" customHeight="1">
      <c r="B36" s="8" t="n">
        <v>22</v>
      </c>
      <c r="C36" s="14" t="n"/>
      <c r="D36" s="14" t="n"/>
      <c r="E36" s="22" t="n"/>
      <c r="F36" s="23" t="n"/>
      <c r="G36" s="24">
        <f>IF(NOT(ISNUMBER(F36)),"",IFERROR(F36/IF(AND(C36&lt;&gt;"",E36&lt;&gt;""),AVERAGEIFS(F$15:F$50,C$15:C$50,C36,E$15:E$50,E36),AVERAGE(F$15:F$50))-1,""))</f>
        <v/>
      </c>
      <c r="H36" s="23" t="n"/>
      <c r="I36" s="23" t="n"/>
      <c r="J36" s="23" t="n"/>
      <c r="K36" s="14" t="n"/>
      <c r="L36" s="23" t="n"/>
      <c r="M36" s="25" t="n"/>
      <c r="N36" s="15">
        <f>IF(COUNTA(F36,H36:M36)=0,"",IF(OR(K36="Reverse",AND(COUNT(H36:J36)&gt;0,MIN(H36:J36)&lt;LIM_INS_DC),IF(ISNUMBER(G36),ABS(G36)&gt;LIM_VOC_DEV,FALSE)),"Fail",IF(AND(ISNUMBER(F36),COUNT(H36:J36)=3,K36="OK"),"Pass","Incomplete")))</f>
        <v/>
      </c>
      <c r="O36" s="6" t="n"/>
    </row>
    <row r="37" ht="19" customHeight="1">
      <c r="B37" s="8" t="n">
        <v>23</v>
      </c>
      <c r="C37" s="14" t="n"/>
      <c r="D37" s="14" t="n"/>
      <c r="E37" s="22" t="n"/>
      <c r="F37" s="23" t="n"/>
      <c r="G37" s="24">
        <f>IF(NOT(ISNUMBER(F37)),"",IFERROR(F37/IF(AND(C37&lt;&gt;"",E37&lt;&gt;""),AVERAGEIFS(F$15:F$50,C$15:C$50,C37,E$15:E$50,E37),AVERAGE(F$15:F$50))-1,""))</f>
        <v/>
      </c>
      <c r="H37" s="23" t="n"/>
      <c r="I37" s="23" t="n"/>
      <c r="J37" s="23" t="n"/>
      <c r="K37" s="14" t="n"/>
      <c r="L37" s="23" t="n"/>
      <c r="M37" s="25" t="n"/>
      <c r="N37" s="15">
        <f>IF(COUNTA(F37,H37:M37)=0,"",IF(OR(K37="Reverse",AND(COUNT(H37:J37)&gt;0,MIN(H37:J37)&lt;LIM_INS_DC),IF(ISNUMBER(G37),ABS(G37)&gt;LIM_VOC_DEV,FALSE)),"Fail",IF(AND(ISNUMBER(F37),COUNT(H37:J37)=3,K37="OK"),"Pass","Incomplete")))</f>
        <v/>
      </c>
      <c r="O37" s="6" t="n"/>
    </row>
    <row r="38" ht="19" customHeight="1">
      <c r="B38" s="8" t="n">
        <v>24</v>
      </c>
      <c r="C38" s="14" t="n"/>
      <c r="D38" s="14" t="n"/>
      <c r="E38" s="22" t="n"/>
      <c r="F38" s="23" t="n"/>
      <c r="G38" s="24">
        <f>IF(NOT(ISNUMBER(F38)),"",IFERROR(F38/IF(AND(C38&lt;&gt;"",E38&lt;&gt;""),AVERAGEIFS(F$15:F$50,C$15:C$50,C38,E$15:E$50,E38),AVERAGE(F$15:F$50))-1,""))</f>
        <v/>
      </c>
      <c r="H38" s="23" t="n"/>
      <c r="I38" s="23" t="n"/>
      <c r="J38" s="23" t="n"/>
      <c r="K38" s="14" t="n"/>
      <c r="L38" s="23" t="n"/>
      <c r="M38" s="25" t="n"/>
      <c r="N38" s="15">
        <f>IF(COUNTA(F38,H38:M38)=0,"",IF(OR(K38="Reverse",AND(COUNT(H38:J38)&gt;0,MIN(H38:J38)&lt;LIM_INS_DC),IF(ISNUMBER(G38),ABS(G38)&gt;LIM_VOC_DEV,FALSE)),"Fail",IF(AND(ISNUMBER(F38),COUNT(H38:J38)=3,K38="OK"),"Pass","Incomplete")))</f>
        <v/>
      </c>
      <c r="O38" s="6" t="n"/>
    </row>
    <row r="39" ht="19" customHeight="1">
      <c r="B39" s="8" t="n">
        <v>25</v>
      </c>
      <c r="C39" s="14" t="n"/>
      <c r="D39" s="14" t="n"/>
      <c r="E39" s="22" t="n"/>
      <c r="F39" s="23" t="n"/>
      <c r="G39" s="24">
        <f>IF(NOT(ISNUMBER(F39)),"",IFERROR(F39/IF(AND(C39&lt;&gt;"",E39&lt;&gt;""),AVERAGEIFS(F$15:F$50,C$15:C$50,C39,E$15:E$50,E39),AVERAGE(F$15:F$50))-1,""))</f>
        <v/>
      </c>
      <c r="H39" s="23" t="n"/>
      <c r="I39" s="23" t="n"/>
      <c r="J39" s="23" t="n"/>
      <c r="K39" s="14" t="n"/>
      <c r="L39" s="23" t="n"/>
      <c r="M39" s="25" t="n"/>
      <c r="N39" s="15">
        <f>IF(COUNTA(F39,H39:M39)=0,"",IF(OR(K39="Reverse",AND(COUNT(H39:J39)&gt;0,MIN(H39:J39)&lt;LIM_INS_DC),IF(ISNUMBER(G39),ABS(G39)&gt;LIM_VOC_DEV,FALSE)),"Fail",IF(AND(ISNUMBER(F39),COUNT(H39:J39)=3,K39="OK"),"Pass","Incomplete")))</f>
        <v/>
      </c>
      <c r="O39" s="6" t="n"/>
    </row>
    <row r="40" ht="19" customHeight="1">
      <c r="B40" s="8" t="n">
        <v>26</v>
      </c>
      <c r="C40" s="14" t="n"/>
      <c r="D40" s="14" t="n"/>
      <c r="E40" s="22" t="n"/>
      <c r="F40" s="23" t="n"/>
      <c r="G40" s="24">
        <f>IF(NOT(ISNUMBER(F40)),"",IFERROR(F40/IF(AND(C40&lt;&gt;"",E40&lt;&gt;""),AVERAGEIFS(F$15:F$50,C$15:C$50,C40,E$15:E$50,E40),AVERAGE(F$15:F$50))-1,""))</f>
        <v/>
      </c>
      <c r="H40" s="23" t="n"/>
      <c r="I40" s="23" t="n"/>
      <c r="J40" s="23" t="n"/>
      <c r="K40" s="14" t="n"/>
      <c r="L40" s="23" t="n"/>
      <c r="M40" s="25" t="n"/>
      <c r="N40" s="15">
        <f>IF(COUNTA(F40,H40:M40)=0,"",IF(OR(K40="Reverse",AND(COUNT(H40:J40)&gt;0,MIN(H40:J40)&lt;LIM_INS_DC),IF(ISNUMBER(G40),ABS(G40)&gt;LIM_VOC_DEV,FALSE)),"Fail",IF(AND(ISNUMBER(F40),COUNT(H40:J40)=3,K40="OK"),"Pass","Incomplete")))</f>
        <v/>
      </c>
      <c r="O40" s="6" t="n"/>
    </row>
    <row r="41" ht="19" customHeight="1">
      <c r="B41" s="8" t="n">
        <v>27</v>
      </c>
      <c r="C41" s="14" t="n"/>
      <c r="D41" s="14" t="n"/>
      <c r="E41" s="22" t="n"/>
      <c r="F41" s="23" t="n"/>
      <c r="G41" s="24">
        <f>IF(NOT(ISNUMBER(F41)),"",IFERROR(F41/IF(AND(C41&lt;&gt;"",E41&lt;&gt;""),AVERAGEIFS(F$15:F$50,C$15:C$50,C41,E$15:E$50,E41),AVERAGE(F$15:F$50))-1,""))</f>
        <v/>
      </c>
      <c r="H41" s="23" t="n"/>
      <c r="I41" s="23" t="n"/>
      <c r="J41" s="23" t="n"/>
      <c r="K41" s="14" t="n"/>
      <c r="L41" s="23" t="n"/>
      <c r="M41" s="25" t="n"/>
      <c r="N41" s="15">
        <f>IF(COUNTA(F41,H41:M41)=0,"",IF(OR(K41="Reverse",AND(COUNT(H41:J41)&gt;0,MIN(H41:J41)&lt;LIM_INS_DC),IF(ISNUMBER(G41),ABS(G41)&gt;LIM_VOC_DEV,FALSE)),"Fail",IF(AND(ISNUMBER(F41),COUNT(H41:J41)=3,K41="OK"),"Pass","Incomplete")))</f>
        <v/>
      </c>
      <c r="O41" s="6" t="n"/>
    </row>
    <row r="42" ht="19" customHeight="1">
      <c r="B42" s="8" t="n">
        <v>28</v>
      </c>
      <c r="C42" s="14" t="n"/>
      <c r="D42" s="14" t="n"/>
      <c r="E42" s="22" t="n"/>
      <c r="F42" s="23" t="n"/>
      <c r="G42" s="24">
        <f>IF(NOT(ISNUMBER(F42)),"",IFERROR(F42/IF(AND(C42&lt;&gt;"",E42&lt;&gt;""),AVERAGEIFS(F$15:F$50,C$15:C$50,C42,E$15:E$50,E42),AVERAGE(F$15:F$50))-1,""))</f>
        <v/>
      </c>
      <c r="H42" s="23" t="n"/>
      <c r="I42" s="23" t="n"/>
      <c r="J42" s="23" t="n"/>
      <c r="K42" s="14" t="n"/>
      <c r="L42" s="23" t="n"/>
      <c r="M42" s="25" t="n"/>
      <c r="N42" s="15">
        <f>IF(COUNTA(F42,H42:M42)=0,"",IF(OR(K42="Reverse",AND(COUNT(H42:J42)&gt;0,MIN(H42:J42)&lt;LIM_INS_DC),IF(ISNUMBER(G42),ABS(G42)&gt;LIM_VOC_DEV,FALSE)),"Fail",IF(AND(ISNUMBER(F42),COUNT(H42:J42)=3,K42="OK"),"Pass","Incomplete")))</f>
        <v/>
      </c>
      <c r="O42" s="6" t="n"/>
    </row>
    <row r="43" ht="19" customHeight="1">
      <c r="B43" s="8" t="n">
        <v>29</v>
      </c>
      <c r="C43" s="14" t="n"/>
      <c r="D43" s="14" t="n"/>
      <c r="E43" s="22" t="n"/>
      <c r="F43" s="23" t="n"/>
      <c r="G43" s="24">
        <f>IF(NOT(ISNUMBER(F43)),"",IFERROR(F43/IF(AND(C43&lt;&gt;"",E43&lt;&gt;""),AVERAGEIFS(F$15:F$50,C$15:C$50,C43,E$15:E$50,E43),AVERAGE(F$15:F$50))-1,""))</f>
        <v/>
      </c>
      <c r="H43" s="23" t="n"/>
      <c r="I43" s="23" t="n"/>
      <c r="J43" s="23" t="n"/>
      <c r="K43" s="14" t="n"/>
      <c r="L43" s="23" t="n"/>
      <c r="M43" s="25" t="n"/>
      <c r="N43" s="15">
        <f>IF(COUNTA(F43,H43:M43)=0,"",IF(OR(K43="Reverse",AND(COUNT(H43:J43)&gt;0,MIN(H43:J43)&lt;LIM_INS_DC),IF(ISNUMBER(G43),ABS(G43)&gt;LIM_VOC_DEV,FALSE)),"Fail",IF(AND(ISNUMBER(F43),COUNT(H43:J43)=3,K43="OK"),"Pass","Incomplete")))</f>
        <v/>
      </c>
      <c r="O43" s="6" t="n"/>
    </row>
    <row r="44" ht="19" customHeight="1">
      <c r="B44" s="8" t="n">
        <v>30</v>
      </c>
      <c r="C44" s="14" t="n"/>
      <c r="D44" s="14" t="n"/>
      <c r="E44" s="22" t="n"/>
      <c r="F44" s="23" t="n"/>
      <c r="G44" s="24">
        <f>IF(NOT(ISNUMBER(F44)),"",IFERROR(F44/IF(AND(C44&lt;&gt;"",E44&lt;&gt;""),AVERAGEIFS(F$15:F$50,C$15:C$50,C44,E$15:E$50,E44),AVERAGE(F$15:F$50))-1,""))</f>
        <v/>
      </c>
      <c r="H44" s="23" t="n"/>
      <c r="I44" s="23" t="n"/>
      <c r="J44" s="23" t="n"/>
      <c r="K44" s="14" t="n"/>
      <c r="L44" s="23" t="n"/>
      <c r="M44" s="25" t="n"/>
      <c r="N44" s="15">
        <f>IF(COUNTA(F44,H44:M44)=0,"",IF(OR(K44="Reverse",AND(COUNT(H44:J44)&gt;0,MIN(H44:J44)&lt;LIM_INS_DC),IF(ISNUMBER(G44),ABS(G44)&gt;LIM_VOC_DEV,FALSE)),"Fail",IF(AND(ISNUMBER(F44),COUNT(H44:J44)=3,K44="OK"),"Pass","Incomplete")))</f>
        <v/>
      </c>
      <c r="O44" s="6" t="n"/>
    </row>
    <row r="45" ht="19" customHeight="1">
      <c r="B45" s="8" t="n">
        <v>31</v>
      </c>
      <c r="C45" s="14" t="n"/>
      <c r="D45" s="14" t="n"/>
      <c r="E45" s="22" t="n"/>
      <c r="F45" s="23" t="n"/>
      <c r="G45" s="24">
        <f>IF(NOT(ISNUMBER(F45)),"",IFERROR(F45/IF(AND(C45&lt;&gt;"",E45&lt;&gt;""),AVERAGEIFS(F$15:F$50,C$15:C$50,C45,E$15:E$50,E45),AVERAGE(F$15:F$50))-1,""))</f>
        <v/>
      </c>
      <c r="H45" s="23" t="n"/>
      <c r="I45" s="23" t="n"/>
      <c r="J45" s="23" t="n"/>
      <c r="K45" s="14" t="n"/>
      <c r="L45" s="23" t="n"/>
      <c r="M45" s="25" t="n"/>
      <c r="N45" s="15">
        <f>IF(COUNTA(F45,H45:M45)=0,"",IF(OR(K45="Reverse",AND(COUNT(H45:J45)&gt;0,MIN(H45:J45)&lt;LIM_INS_DC),IF(ISNUMBER(G45),ABS(G45)&gt;LIM_VOC_DEV,FALSE)),"Fail",IF(AND(ISNUMBER(F45),COUNT(H45:J45)=3,K45="OK"),"Pass","Incomplete")))</f>
        <v/>
      </c>
      <c r="O45" s="6" t="n"/>
    </row>
    <row r="46" ht="19" customHeight="1">
      <c r="B46" s="8" t="n">
        <v>32</v>
      </c>
      <c r="C46" s="14" t="n"/>
      <c r="D46" s="14" t="n"/>
      <c r="E46" s="22" t="n"/>
      <c r="F46" s="23" t="n"/>
      <c r="G46" s="24">
        <f>IF(NOT(ISNUMBER(F46)),"",IFERROR(F46/IF(AND(C46&lt;&gt;"",E46&lt;&gt;""),AVERAGEIFS(F$15:F$50,C$15:C$50,C46,E$15:E$50,E46),AVERAGE(F$15:F$50))-1,""))</f>
        <v/>
      </c>
      <c r="H46" s="23" t="n"/>
      <c r="I46" s="23" t="n"/>
      <c r="J46" s="23" t="n"/>
      <c r="K46" s="14" t="n"/>
      <c r="L46" s="23" t="n"/>
      <c r="M46" s="25" t="n"/>
      <c r="N46" s="15">
        <f>IF(COUNTA(F46,H46:M46)=0,"",IF(OR(K46="Reverse",AND(COUNT(H46:J46)&gt;0,MIN(H46:J46)&lt;LIM_INS_DC),IF(ISNUMBER(G46),ABS(G46)&gt;LIM_VOC_DEV,FALSE)),"Fail",IF(AND(ISNUMBER(F46),COUNT(H46:J46)=3,K46="OK"),"Pass","Incomplete")))</f>
        <v/>
      </c>
      <c r="O46" s="6" t="n"/>
    </row>
    <row r="47" ht="19" customHeight="1">
      <c r="B47" s="8" t="n">
        <v>33</v>
      </c>
      <c r="C47" s="14" t="n"/>
      <c r="D47" s="14" t="n"/>
      <c r="E47" s="22" t="n"/>
      <c r="F47" s="23" t="n"/>
      <c r="G47" s="24">
        <f>IF(NOT(ISNUMBER(F47)),"",IFERROR(F47/IF(AND(C47&lt;&gt;"",E47&lt;&gt;""),AVERAGEIFS(F$15:F$50,C$15:C$50,C47,E$15:E$50,E47),AVERAGE(F$15:F$50))-1,""))</f>
        <v/>
      </c>
      <c r="H47" s="23" t="n"/>
      <c r="I47" s="23" t="n"/>
      <c r="J47" s="23" t="n"/>
      <c r="K47" s="14" t="n"/>
      <c r="L47" s="23" t="n"/>
      <c r="M47" s="25" t="n"/>
      <c r="N47" s="15">
        <f>IF(COUNTA(F47,H47:M47)=0,"",IF(OR(K47="Reverse",AND(COUNT(H47:J47)&gt;0,MIN(H47:J47)&lt;LIM_INS_DC),IF(ISNUMBER(G47),ABS(G47)&gt;LIM_VOC_DEV,FALSE)),"Fail",IF(AND(ISNUMBER(F47),COUNT(H47:J47)=3,K47="OK"),"Pass","Incomplete")))</f>
        <v/>
      </c>
      <c r="O47" s="6" t="n"/>
    </row>
    <row r="48" ht="19" customHeight="1">
      <c r="B48" s="8" t="n">
        <v>34</v>
      </c>
      <c r="C48" s="14" t="n"/>
      <c r="D48" s="14" t="n"/>
      <c r="E48" s="22" t="n"/>
      <c r="F48" s="23" t="n"/>
      <c r="G48" s="24">
        <f>IF(NOT(ISNUMBER(F48)),"",IFERROR(F48/IF(AND(C48&lt;&gt;"",E48&lt;&gt;""),AVERAGEIFS(F$15:F$50,C$15:C$50,C48,E$15:E$50,E48),AVERAGE(F$15:F$50))-1,""))</f>
        <v/>
      </c>
      <c r="H48" s="23" t="n"/>
      <c r="I48" s="23" t="n"/>
      <c r="J48" s="23" t="n"/>
      <c r="K48" s="14" t="n"/>
      <c r="L48" s="23" t="n"/>
      <c r="M48" s="25" t="n"/>
      <c r="N48" s="15">
        <f>IF(COUNTA(F48,H48:M48)=0,"",IF(OR(K48="Reverse",AND(COUNT(H48:J48)&gt;0,MIN(H48:J48)&lt;LIM_INS_DC),IF(ISNUMBER(G48),ABS(G48)&gt;LIM_VOC_DEV,FALSE)),"Fail",IF(AND(ISNUMBER(F48),COUNT(H48:J48)=3,K48="OK"),"Pass","Incomplete")))</f>
        <v/>
      </c>
      <c r="O48" s="6" t="n"/>
    </row>
    <row r="49" ht="19" customHeight="1">
      <c r="B49" s="8" t="n">
        <v>35</v>
      </c>
      <c r="C49" s="14" t="n"/>
      <c r="D49" s="14" t="n"/>
      <c r="E49" s="22" t="n"/>
      <c r="F49" s="23" t="n"/>
      <c r="G49" s="24">
        <f>IF(NOT(ISNUMBER(F49)),"",IFERROR(F49/IF(AND(C49&lt;&gt;"",E49&lt;&gt;""),AVERAGEIFS(F$15:F$50,C$15:C$50,C49,E$15:E$50,E49),AVERAGE(F$15:F$50))-1,""))</f>
        <v/>
      </c>
      <c r="H49" s="23" t="n"/>
      <c r="I49" s="23" t="n"/>
      <c r="J49" s="23" t="n"/>
      <c r="K49" s="14" t="n"/>
      <c r="L49" s="23" t="n"/>
      <c r="M49" s="25" t="n"/>
      <c r="N49" s="15">
        <f>IF(COUNTA(F49,H49:M49)=0,"",IF(OR(K49="Reverse",AND(COUNT(H49:J49)&gt;0,MIN(H49:J49)&lt;LIM_INS_DC),IF(ISNUMBER(G49),ABS(G49)&gt;LIM_VOC_DEV,FALSE)),"Fail",IF(AND(ISNUMBER(F49),COUNT(H49:J49)=3,K49="OK"),"Pass","Incomplete")))</f>
        <v/>
      </c>
      <c r="O49" s="6" t="n"/>
    </row>
    <row r="50" ht="19" customHeight="1">
      <c r="B50" s="8" t="n">
        <v>36</v>
      </c>
      <c r="C50" s="14" t="n"/>
      <c r="D50" s="14" t="n"/>
      <c r="E50" s="22" t="n"/>
      <c r="F50" s="23" t="n"/>
      <c r="G50" s="24">
        <f>IF(NOT(ISNUMBER(F50)),"",IFERROR(F50/IF(AND(C50&lt;&gt;"",E50&lt;&gt;""),AVERAGEIFS(F$15:F$50,C$15:C$50,C50,E$15:E$50,E50),AVERAGE(F$15:F$50))-1,""))</f>
        <v/>
      </c>
      <c r="H50" s="23" t="n"/>
      <c r="I50" s="23" t="n"/>
      <c r="J50" s="23" t="n"/>
      <c r="K50" s="14" t="n"/>
      <c r="L50" s="23" t="n"/>
      <c r="M50" s="25" t="n"/>
      <c r="N50" s="15">
        <f>IF(COUNTA(F50,H50:M50)=0,"",IF(OR(K50="Reverse",AND(COUNT(H50:J50)&gt;0,MIN(H50:J50)&lt;LIM_INS_DC),IF(ISNUMBER(G50),ABS(G50)&gt;LIM_VOC_DEV,FALSE)),"Fail",IF(AND(ISNUMBER(F50),COUNT(H50:J50)=3,K50="OK"),"Pass","Incomplete")))</f>
        <v/>
      </c>
      <c r="O50" s="6" t="n"/>
    </row>
    <row r="52" ht="22" customHeight="1">
      <c r="B52" s="5" t="inlineStr">
        <is>
          <t>Strings — Pass</t>
        </is>
      </c>
      <c r="C52" s="5" t="n"/>
      <c r="D52" s="5" t="n"/>
      <c r="E52" s="5" t="n"/>
      <c r="F52" s="15">
        <f>COUNTIF(N15:N50,"Pass")</f>
        <v/>
      </c>
      <c r="G52" s="15" t="n"/>
      <c r="H52" s="15" t="n"/>
      <c r="I52" s="5" t="inlineStr">
        <is>
          <t>Strings — Incomplete</t>
        </is>
      </c>
      <c r="J52" s="5" t="n"/>
      <c r="K52" s="5" t="n"/>
      <c r="L52" s="15">
        <f>COUNTIF(N15:N50,"Incomplete")</f>
        <v/>
      </c>
      <c r="M52" s="15" t="n"/>
      <c r="N52" s="15" t="n"/>
      <c r="O52" s="15" t="n"/>
    </row>
    <row r="53" ht="22" customHeight="1">
      <c r="B53" s="5" t="inlineStr">
        <is>
          <t>Strings — Fail</t>
        </is>
      </c>
      <c r="C53" s="5" t="n"/>
      <c r="D53" s="5" t="n"/>
      <c r="E53" s="5" t="n"/>
      <c r="F53" s="15">
        <f>COUNTIF(N15:N50,"Fail")</f>
        <v/>
      </c>
      <c r="G53" s="15" t="n"/>
      <c r="H53" s="15" t="n"/>
    </row>
    <row r="55" ht="28" customHeight="1">
      <c r="B55" s="5" t="inlineStr">
        <is>
          <t>Officer Name</t>
        </is>
      </c>
      <c r="C55" s="5" t="n"/>
      <c r="D55" s="6" t="n"/>
      <c r="E55" s="6" t="n"/>
      <c r="F55" s="6" t="n"/>
      <c r="G55" s="6" t="n"/>
      <c r="H55" s="6" t="n"/>
      <c r="I55" s="5" t="inlineStr">
        <is>
          <t>Signature</t>
        </is>
      </c>
      <c r="J55" s="5" t="n"/>
      <c r="K55" s="6" t="n"/>
      <c r="L55" s="6" t="n"/>
      <c r="M55" s="6" t="n"/>
      <c r="N55" s="6" t="n"/>
      <c r="O55" s="6" t="n"/>
    </row>
  </sheetData>
  <mergeCells count="38">
    <mergeCell ref="B9:E9"/>
    <mergeCell ref="B4:O4"/>
    <mergeCell ref="L9:O9"/>
    <mergeCell ref="F8:H8"/>
    <mergeCell ref="L52:O52"/>
    <mergeCell ref="L13:M13"/>
    <mergeCell ref="L11:O11"/>
    <mergeCell ref="K55:O55"/>
    <mergeCell ref="B12:O12"/>
    <mergeCell ref="I52:K52"/>
    <mergeCell ref="F13:K13"/>
    <mergeCell ref="I8:K8"/>
    <mergeCell ref="B7:E7"/>
    <mergeCell ref="F9:H9"/>
    <mergeCell ref="F52:H52"/>
    <mergeCell ref="L7:O7"/>
    <mergeCell ref="I10:K10"/>
    <mergeCell ref="I55:J55"/>
    <mergeCell ref="B52:E52"/>
    <mergeCell ref="I9:K9"/>
    <mergeCell ref="B11:E11"/>
    <mergeCell ref="F53:H53"/>
    <mergeCell ref="N13:O13"/>
    <mergeCell ref="F11:H11"/>
    <mergeCell ref="B55:C55"/>
    <mergeCell ref="F10:H10"/>
    <mergeCell ref="I11:K11"/>
    <mergeCell ref="L8:O8"/>
    <mergeCell ref="B8:E8"/>
    <mergeCell ref="B53:E53"/>
    <mergeCell ref="D55:H55"/>
    <mergeCell ref="B6:O6"/>
    <mergeCell ref="B13:E13"/>
    <mergeCell ref="B2:O3"/>
    <mergeCell ref="F7:H7"/>
    <mergeCell ref="L10:O10"/>
    <mergeCell ref="B10:E10"/>
    <mergeCell ref="I7:K7"/>
  </mergeCells>
  <conditionalFormatting sqref="N15:N5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"Incomplete"</formula>
    </cfRule>
    <cfRule type="cellIs" priority="4" operator="equal" dxfId="2">
      <formula>"IN PROGRESS"</formula>
    </cfRule>
    <cfRule type="cellIs" priority="5" operator="equal" dxfId="2">
      <formula>"INCOMPLETE"</formula>
    </cfRule>
    <cfRule type="cellIs" priority="6" operator="equal" dxfId="3">
      <formula>"N/A"</formula>
    </cfRule>
  </conditionalFormatting>
  <dataValidations count="1">
    <dataValidation sqref="K15:K50" showDropDown="0" showInputMessage="0" showErrorMessage="0" allowBlank="1" type="list">
      <formula1>"OK,Reverse"</formula1>
    </dataValidation>
  </dataValidations>
  <printOptions horizontalCentered="1"/>
  <pageMargins left="0.4" right="0.4" top="0.6" bottom="0.7" header="0.25" footer="0.3"/>
  <pageSetup orientation="landscape" paperSize="9" fitToHeight="0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B2:O27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5" customWidth="1" min="2" max="2"/>
    <col width="22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8" customWidth="1" min="12" max="12"/>
    <col width="10" customWidth="1" min="13" max="13"/>
    <col width="10" customWidth="1" min="14" max="14"/>
    <col width="24" customWidth="1" min="15" max="15"/>
  </cols>
  <sheetData>
    <row r="2">
      <c r="B2" s="10" t="inlineStr">
        <is>
          <t>AC OUTPUT TEST  (grid no-load and inverter on-load)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 ht="16" customHeight="1">
      <c r="B4" s="3">
        <f>"Project: "&amp;IF(Cover!$C$7="","(enter on Cover sheet)",Cover!$C$7)&amp;"     |     Regen Renewables (Pvt) Ltd."</f>
        <v/>
      </c>
    </row>
    <row r="5" ht="6" customHeight="1"/>
    <row r="6">
      <c r="B6" s="4" t="inlineStr">
        <is>
          <t>AC SIDE READINGS  —  first row = grid side with inverters OFF, then each inverter ON-LOAD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 ht="22" customHeight="1">
      <c r="B7" s="5" t="inlineStr">
        <is>
          <t>Date</t>
        </is>
      </c>
      <c r="C7" s="5" t="n"/>
      <c r="D7" s="17" t="n"/>
      <c r="E7" s="14" t="n"/>
      <c r="F7" s="14" t="n"/>
      <c r="G7" s="14" t="n"/>
      <c r="H7" s="5" t="inlineStr">
        <is>
          <t>Tested By</t>
        </is>
      </c>
      <c r="I7" s="5" t="n"/>
      <c r="J7" s="5" t="n"/>
      <c r="K7" s="6" t="n"/>
      <c r="L7" s="6" t="n"/>
      <c r="M7" s="6" t="n"/>
      <c r="N7" s="6" t="n"/>
      <c r="O7" s="6" t="n"/>
    </row>
    <row r="8" ht="6" customHeight="1"/>
    <row r="9" ht="20" customHeight="1">
      <c r="B9" s="21" t="inlineStr">
        <is>
          <t>POINT</t>
        </is>
      </c>
      <c r="C9" s="21" t="n"/>
      <c r="D9" s="21" t="n"/>
      <c r="E9" s="21" t="inlineStr">
        <is>
          <t>VOLTAGE L–N (V)</t>
        </is>
      </c>
      <c r="F9" s="21" t="n"/>
      <c r="G9" s="21" t="n"/>
      <c r="H9" s="21" t="inlineStr">
        <is>
          <t>CURRENT (A)</t>
        </is>
      </c>
      <c r="I9" s="21" t="n"/>
      <c r="J9" s="21" t="n"/>
      <c r="K9" s="21" t="inlineStr">
        <is>
          <t>POWER</t>
        </is>
      </c>
      <c r="L9" s="21" t="n"/>
      <c r="M9" s="21" t="n"/>
      <c r="N9" s="21" t="inlineStr">
        <is>
          <t>RESULT</t>
        </is>
      </c>
      <c r="O9" s="21" t="n"/>
    </row>
    <row r="10" ht="34" customHeight="1">
      <c r="B10" s="13" t="inlineStr">
        <is>
          <t>No.</t>
        </is>
      </c>
      <c r="C10" s="13" t="inlineStr">
        <is>
          <t>Grid / Inverter &amp; Room</t>
        </is>
      </c>
      <c r="D10" s="13" t="inlineStr">
        <is>
          <t>Time</t>
        </is>
      </c>
      <c r="E10" s="13" t="inlineStr">
        <is>
          <t>L1</t>
        </is>
      </c>
      <c r="F10" s="13" t="inlineStr">
        <is>
          <t>L2</t>
        </is>
      </c>
      <c r="G10" s="13" t="inlineStr">
        <is>
          <t>L3</t>
        </is>
      </c>
      <c r="H10" s="13" t="inlineStr">
        <is>
          <t>L1</t>
        </is>
      </c>
      <c r="I10" s="13" t="inlineStr">
        <is>
          <t>L2</t>
        </is>
      </c>
      <c r="J10" s="13" t="inlineStr">
        <is>
          <t>L3</t>
        </is>
      </c>
      <c r="K10" s="13" t="inlineStr">
        <is>
          <t>Active Power (kW)</t>
        </is>
      </c>
      <c r="L10" s="13" t="inlineStr">
        <is>
          <t>PF</t>
        </is>
      </c>
      <c r="M10" s="13" t="inlineStr">
        <is>
          <t>Freq (Hz)</t>
        </is>
      </c>
      <c r="N10" s="13" t="inlineStr">
        <is>
          <t>Result</t>
        </is>
      </c>
      <c r="O10" s="13" t="inlineStr">
        <is>
          <t>Remarks</t>
        </is>
      </c>
    </row>
    <row r="11" ht="20" customHeight="1">
      <c r="B11" s="8" t="n">
        <v>1</v>
      </c>
      <c r="C11" s="6" t="inlineStr">
        <is>
          <t>Grid side (no load)</t>
        </is>
      </c>
      <c r="D11" s="26" t="n"/>
      <c r="E11" s="23" t="n"/>
      <c r="F11" s="23" t="n"/>
      <c r="G11" s="23" t="n"/>
      <c r="H11" s="23" t="n"/>
      <c r="I11" s="23" t="n"/>
      <c r="J11" s="23" t="n"/>
      <c r="K11" s="25" t="n"/>
      <c r="L11" s="25" t="n"/>
      <c r="M11" s="25" t="n"/>
      <c r="N11" s="15">
        <f>IF(COUNT(E11:G11)=0,"",IF(OR(MAX(E11:G11)&gt;LIM_VNOM*(1+LIM_VTOL),MIN(E11:G11)&lt;LIM_VNOM*(1-LIM_VTOL),IF(ISNUMBER(M11),ABS(M11-LIM_FNOM)&gt;LIM_FTOL,FALSE)),"Fail","Pass"))</f>
        <v/>
      </c>
      <c r="O11" s="6" t="n"/>
    </row>
    <row r="12" ht="20" customHeight="1">
      <c r="B12" s="8" t="n">
        <v>2</v>
      </c>
      <c r="C12" s="6" t="n"/>
      <c r="D12" s="26" t="n"/>
      <c r="E12" s="23" t="n"/>
      <c r="F12" s="23" t="n"/>
      <c r="G12" s="23" t="n"/>
      <c r="H12" s="23" t="n"/>
      <c r="I12" s="23" t="n"/>
      <c r="J12" s="23" t="n"/>
      <c r="K12" s="25" t="n"/>
      <c r="L12" s="25" t="n"/>
      <c r="M12" s="25" t="n"/>
      <c r="N12" s="15">
        <f>IF(COUNT(E12:G12)=0,"",IF(OR(MAX(E12:G12)&gt;LIM_VNOM*(1+LIM_VTOL),MIN(E12:G12)&lt;LIM_VNOM*(1-LIM_VTOL),IF(ISNUMBER(M12),ABS(M12-LIM_FNOM)&gt;LIM_FTOL,FALSE)),"Fail","Pass"))</f>
        <v/>
      </c>
      <c r="O12" s="6" t="n"/>
    </row>
    <row r="13" ht="20" customHeight="1">
      <c r="B13" s="8" t="n">
        <v>3</v>
      </c>
      <c r="C13" s="6" t="n"/>
      <c r="D13" s="26" t="n"/>
      <c r="E13" s="23" t="n"/>
      <c r="F13" s="23" t="n"/>
      <c r="G13" s="23" t="n"/>
      <c r="H13" s="23" t="n"/>
      <c r="I13" s="23" t="n"/>
      <c r="J13" s="23" t="n"/>
      <c r="K13" s="25" t="n"/>
      <c r="L13" s="25" t="n"/>
      <c r="M13" s="25" t="n"/>
      <c r="N13" s="15">
        <f>IF(COUNT(E13:G13)=0,"",IF(OR(MAX(E13:G13)&gt;LIM_VNOM*(1+LIM_VTOL),MIN(E13:G13)&lt;LIM_VNOM*(1-LIM_VTOL),IF(ISNUMBER(M13),ABS(M13-LIM_FNOM)&gt;LIM_FTOL,FALSE)),"Fail","Pass"))</f>
        <v/>
      </c>
      <c r="O13" s="6" t="n"/>
    </row>
    <row r="14" ht="20" customHeight="1">
      <c r="B14" s="8" t="n">
        <v>4</v>
      </c>
      <c r="C14" s="6" t="n"/>
      <c r="D14" s="26" t="n"/>
      <c r="E14" s="23" t="n"/>
      <c r="F14" s="23" t="n"/>
      <c r="G14" s="23" t="n"/>
      <c r="H14" s="23" t="n"/>
      <c r="I14" s="23" t="n"/>
      <c r="J14" s="23" t="n"/>
      <c r="K14" s="25" t="n"/>
      <c r="L14" s="25" t="n"/>
      <c r="M14" s="25" t="n"/>
      <c r="N14" s="15">
        <f>IF(COUNT(E14:G14)=0,"",IF(OR(MAX(E14:G14)&gt;LIM_VNOM*(1+LIM_VTOL),MIN(E14:G14)&lt;LIM_VNOM*(1-LIM_VTOL),IF(ISNUMBER(M14),ABS(M14-LIM_FNOM)&gt;LIM_FTOL,FALSE)),"Fail","Pass"))</f>
        <v/>
      </c>
      <c r="O14" s="6" t="n"/>
    </row>
    <row r="15" ht="20" customHeight="1">
      <c r="B15" s="8" t="n">
        <v>5</v>
      </c>
      <c r="C15" s="6" t="n"/>
      <c r="D15" s="26" t="n"/>
      <c r="E15" s="23" t="n"/>
      <c r="F15" s="23" t="n"/>
      <c r="G15" s="23" t="n"/>
      <c r="H15" s="23" t="n"/>
      <c r="I15" s="23" t="n"/>
      <c r="J15" s="23" t="n"/>
      <c r="K15" s="25" t="n"/>
      <c r="L15" s="25" t="n"/>
      <c r="M15" s="25" t="n"/>
      <c r="N15" s="15">
        <f>IF(COUNT(E15:G15)=0,"",IF(OR(MAX(E15:G15)&gt;LIM_VNOM*(1+LIM_VTOL),MIN(E15:G15)&lt;LIM_VNOM*(1-LIM_VTOL),IF(ISNUMBER(M15),ABS(M15-LIM_FNOM)&gt;LIM_FTOL,FALSE)),"Fail","Pass"))</f>
        <v/>
      </c>
      <c r="O15" s="6" t="n"/>
    </row>
    <row r="16" ht="20" customHeight="1">
      <c r="B16" s="8" t="n">
        <v>6</v>
      </c>
      <c r="C16" s="6" t="n"/>
      <c r="D16" s="26" t="n"/>
      <c r="E16" s="23" t="n"/>
      <c r="F16" s="23" t="n"/>
      <c r="G16" s="23" t="n"/>
      <c r="H16" s="23" t="n"/>
      <c r="I16" s="23" t="n"/>
      <c r="J16" s="23" t="n"/>
      <c r="K16" s="25" t="n"/>
      <c r="L16" s="25" t="n"/>
      <c r="M16" s="25" t="n"/>
      <c r="N16" s="15">
        <f>IF(COUNT(E16:G16)=0,"",IF(OR(MAX(E16:G16)&gt;LIM_VNOM*(1+LIM_VTOL),MIN(E16:G16)&lt;LIM_VNOM*(1-LIM_VTOL),IF(ISNUMBER(M16),ABS(M16-LIM_FNOM)&gt;LIM_FTOL,FALSE)),"Fail","Pass"))</f>
        <v/>
      </c>
      <c r="O16" s="6" t="n"/>
    </row>
    <row r="17" ht="20" customHeight="1">
      <c r="B17" s="8" t="n">
        <v>7</v>
      </c>
      <c r="C17" s="6" t="n"/>
      <c r="D17" s="26" t="n"/>
      <c r="E17" s="23" t="n"/>
      <c r="F17" s="23" t="n"/>
      <c r="G17" s="23" t="n"/>
      <c r="H17" s="23" t="n"/>
      <c r="I17" s="23" t="n"/>
      <c r="J17" s="23" t="n"/>
      <c r="K17" s="25" t="n"/>
      <c r="L17" s="25" t="n"/>
      <c r="M17" s="25" t="n"/>
      <c r="N17" s="15">
        <f>IF(COUNT(E17:G17)=0,"",IF(OR(MAX(E17:G17)&gt;LIM_VNOM*(1+LIM_VTOL),MIN(E17:G17)&lt;LIM_VNOM*(1-LIM_VTOL),IF(ISNUMBER(M17),ABS(M17-LIM_FNOM)&gt;LIM_FTOL,FALSE)),"Fail","Pass"))</f>
        <v/>
      </c>
      <c r="O17" s="6" t="n"/>
    </row>
    <row r="18" ht="20" customHeight="1">
      <c r="B18" s="8" t="n">
        <v>8</v>
      </c>
      <c r="C18" s="6" t="n"/>
      <c r="D18" s="26" t="n"/>
      <c r="E18" s="23" t="n"/>
      <c r="F18" s="23" t="n"/>
      <c r="G18" s="23" t="n"/>
      <c r="H18" s="23" t="n"/>
      <c r="I18" s="23" t="n"/>
      <c r="J18" s="23" t="n"/>
      <c r="K18" s="25" t="n"/>
      <c r="L18" s="25" t="n"/>
      <c r="M18" s="25" t="n"/>
      <c r="N18" s="15">
        <f>IF(COUNT(E18:G18)=0,"",IF(OR(MAX(E18:G18)&gt;LIM_VNOM*(1+LIM_VTOL),MIN(E18:G18)&lt;LIM_VNOM*(1-LIM_VTOL),IF(ISNUMBER(M18),ABS(M18-LIM_FNOM)&gt;LIM_FTOL,FALSE)),"Fail","Pass"))</f>
        <v/>
      </c>
      <c r="O18" s="6" t="n"/>
    </row>
    <row r="19" ht="20" customHeight="1">
      <c r="B19" s="8" t="n">
        <v>9</v>
      </c>
      <c r="C19" s="6" t="n"/>
      <c r="D19" s="26" t="n"/>
      <c r="E19" s="23" t="n"/>
      <c r="F19" s="23" t="n"/>
      <c r="G19" s="23" t="n"/>
      <c r="H19" s="23" t="n"/>
      <c r="I19" s="23" t="n"/>
      <c r="J19" s="23" t="n"/>
      <c r="K19" s="25" t="n"/>
      <c r="L19" s="25" t="n"/>
      <c r="M19" s="25" t="n"/>
      <c r="N19" s="15">
        <f>IF(COUNT(E19:G19)=0,"",IF(OR(MAX(E19:G19)&gt;LIM_VNOM*(1+LIM_VTOL),MIN(E19:G19)&lt;LIM_VNOM*(1-LIM_VTOL),IF(ISNUMBER(M19),ABS(M19-LIM_FNOM)&gt;LIM_FTOL,FALSE)),"Fail","Pass"))</f>
        <v/>
      </c>
      <c r="O19" s="6" t="n"/>
    </row>
    <row r="20" ht="20" customHeight="1">
      <c r="B20" s="8" t="n">
        <v>10</v>
      </c>
      <c r="C20" s="6" t="n"/>
      <c r="D20" s="26" t="n"/>
      <c r="E20" s="23" t="n"/>
      <c r="F20" s="23" t="n"/>
      <c r="G20" s="23" t="n"/>
      <c r="H20" s="23" t="n"/>
      <c r="I20" s="23" t="n"/>
      <c r="J20" s="23" t="n"/>
      <c r="K20" s="25" t="n"/>
      <c r="L20" s="25" t="n"/>
      <c r="M20" s="25" t="n"/>
      <c r="N20" s="15">
        <f>IF(COUNT(E20:G20)=0,"",IF(OR(MAX(E20:G20)&gt;LIM_VNOM*(1+LIM_VTOL),MIN(E20:G20)&lt;LIM_VNOM*(1-LIM_VTOL),IF(ISNUMBER(M20),ABS(M20-LIM_FNOM)&gt;LIM_FTOL,FALSE)),"Fail","Pass"))</f>
        <v/>
      </c>
      <c r="O20" s="6" t="n"/>
    </row>
    <row r="21" ht="20" customHeight="1">
      <c r="B21" s="8" t="n">
        <v>11</v>
      </c>
      <c r="C21" s="6" t="n"/>
      <c r="D21" s="26" t="n"/>
      <c r="E21" s="23" t="n"/>
      <c r="F21" s="23" t="n"/>
      <c r="G21" s="23" t="n"/>
      <c r="H21" s="23" t="n"/>
      <c r="I21" s="23" t="n"/>
      <c r="J21" s="23" t="n"/>
      <c r="K21" s="25" t="n"/>
      <c r="L21" s="25" t="n"/>
      <c r="M21" s="25" t="n"/>
      <c r="N21" s="15">
        <f>IF(COUNT(E21:G21)=0,"",IF(OR(MAX(E21:G21)&gt;LIM_VNOM*(1+LIM_VTOL),MIN(E21:G21)&lt;LIM_VNOM*(1-LIM_VTOL),IF(ISNUMBER(M21),ABS(M21-LIM_FNOM)&gt;LIM_FTOL,FALSE)),"Fail","Pass"))</f>
        <v/>
      </c>
      <c r="O21" s="6" t="n"/>
    </row>
    <row r="22" ht="20" customHeight="1">
      <c r="B22" s="8" t="n">
        <v>12</v>
      </c>
      <c r="C22" s="6" t="n"/>
      <c r="D22" s="26" t="n"/>
      <c r="E22" s="23" t="n"/>
      <c r="F22" s="23" t="n"/>
      <c r="G22" s="23" t="n"/>
      <c r="H22" s="23" t="n"/>
      <c r="I22" s="23" t="n"/>
      <c r="J22" s="23" t="n"/>
      <c r="K22" s="25" t="n"/>
      <c r="L22" s="25" t="n"/>
      <c r="M22" s="25" t="n"/>
      <c r="N22" s="15">
        <f>IF(COUNT(E22:G22)=0,"",IF(OR(MAX(E22:G22)&gt;LIM_VNOM*(1+LIM_VTOL),MIN(E22:G22)&lt;LIM_VNOM*(1-LIM_VTOL),IF(ISNUMBER(M22),ABS(M22-LIM_FNOM)&gt;LIM_FTOL,FALSE)),"Fail","Pass"))</f>
        <v/>
      </c>
      <c r="O22" s="6" t="n"/>
    </row>
    <row r="24" ht="22" customHeight="1">
      <c r="B24" s="5" t="inlineStr">
        <is>
          <t>Total plant AC power (kW)</t>
        </is>
      </c>
      <c r="C24" s="5" t="n"/>
      <c r="D24" s="5" t="n"/>
      <c r="E24" s="5" t="n"/>
      <c r="F24" s="27">
        <f>SUM(K11:K22)</f>
        <v/>
      </c>
      <c r="G24" s="15" t="n"/>
      <c r="H24" s="15" t="n"/>
    </row>
    <row r="25" ht="24" customHeight="1">
      <c r="B25" s="16" t="inlineStr">
        <is>
          <t>Result checks every phase against the voltage window and the frequency against the tolerance set on “Equipment and Limits”. Leave unused phases blank for single-phase inverters.</t>
        </is>
      </c>
    </row>
    <row r="27" ht="28" customHeight="1">
      <c r="B27" s="5" t="inlineStr">
        <is>
          <t>Officer Name</t>
        </is>
      </c>
      <c r="C27" s="5" t="n"/>
      <c r="D27" s="6" t="n"/>
      <c r="E27" s="6" t="n"/>
      <c r="F27" s="6" t="n"/>
      <c r="G27" s="6" t="n"/>
      <c r="H27" s="6" t="n"/>
      <c r="I27" s="5" t="inlineStr">
        <is>
          <t>Signature</t>
        </is>
      </c>
      <c r="J27" s="5" t="n"/>
      <c r="K27" s="6" t="n"/>
      <c r="L27" s="6" t="n"/>
      <c r="M27" s="6" t="n"/>
      <c r="N27" s="6" t="n"/>
      <c r="O27" s="6" t="n"/>
    </row>
  </sheetData>
  <mergeCells count="19">
    <mergeCell ref="B4:O4"/>
    <mergeCell ref="B7:C7"/>
    <mergeCell ref="B25:O25"/>
    <mergeCell ref="I27:J27"/>
    <mergeCell ref="E9:G9"/>
    <mergeCell ref="B24:E24"/>
    <mergeCell ref="B27:C27"/>
    <mergeCell ref="H7:J7"/>
    <mergeCell ref="B9:D9"/>
    <mergeCell ref="D27:H27"/>
    <mergeCell ref="K27:O27"/>
    <mergeCell ref="N9:O9"/>
    <mergeCell ref="K7:O7"/>
    <mergeCell ref="K9:M9"/>
    <mergeCell ref="B6:O6"/>
    <mergeCell ref="B2:O3"/>
    <mergeCell ref="D7:G7"/>
    <mergeCell ref="H9:J9"/>
    <mergeCell ref="F24:H24"/>
  </mergeCells>
  <conditionalFormatting sqref="N11:N22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"Incomplete"</formula>
    </cfRule>
    <cfRule type="cellIs" priority="4" operator="equal" dxfId="2">
      <formula>"IN PROGRESS"</formula>
    </cfRule>
    <cfRule type="cellIs" priority="5" operator="equal" dxfId="2">
      <formula>"INCOMPLETE"</formula>
    </cfRule>
    <cfRule type="cellIs" priority="6" operator="equal" dxfId="3">
      <formula>"N/A"</formula>
    </cfRule>
  </conditionalFormatting>
  <printOptions horizontalCentered="1"/>
  <pageMargins left="0.4" right="0.4" top="0.6" bottom="0.7" header="0.25" footer="0.3"/>
  <pageSetup orientation="landscape" paperSize="9" fitToHeight="0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B2:O35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6" customWidth="1" min="2" max="2"/>
    <col width="24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0" customWidth="1" min="14" max="14"/>
    <col width="24" customWidth="1" min="15" max="15"/>
  </cols>
  <sheetData>
    <row r="2">
      <c r="B2" s="10" t="inlineStr">
        <is>
          <t>AC INSULATION &amp; EARTHING TEST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 ht="16" customHeight="1">
      <c r="B4" s="3">
        <f>"Project: "&amp;IF(Cover!$C$7="","(enter on Cover sheet)",Cover!$C$7)&amp;"     |     Regen Renewables (Pvt) Ltd."</f>
        <v/>
      </c>
    </row>
    <row r="5" ht="6" customHeight="1"/>
    <row r="6">
      <c r="B6" s="4" t="inlineStr">
        <is>
          <t>AC SIDE INSULATION RESISTANCE (MΩ)  —  one row per inverter / circuit (grid side and main panel can be added as extra rows)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 ht="22" customHeight="1">
      <c r="B7" s="5" t="inlineStr">
        <is>
          <t>Date</t>
        </is>
      </c>
      <c r="C7" s="5" t="n"/>
      <c r="D7" s="17" t="n"/>
      <c r="E7" s="14" t="n"/>
      <c r="F7" s="14" t="n"/>
      <c r="G7" s="5" t="inlineStr">
        <is>
          <t>Test Voltage (V)</t>
        </is>
      </c>
      <c r="H7" s="5" t="n"/>
      <c r="I7" s="5" t="n"/>
      <c r="J7" s="14" t="n"/>
      <c r="K7" s="14" t="n"/>
      <c r="L7" s="5" t="inlineStr">
        <is>
          <t>Tested By</t>
        </is>
      </c>
      <c r="M7" s="5" t="n"/>
      <c r="N7" s="6" t="n"/>
      <c r="O7" s="6" t="n"/>
    </row>
    <row r="8" ht="6" customHeight="1"/>
    <row r="9" ht="28" customHeight="1">
      <c r="B9" s="13" t="inlineStr">
        <is>
          <t>No.</t>
        </is>
      </c>
      <c r="C9" s="13" t="inlineStr">
        <is>
          <t>Inverter / Circuit</t>
        </is>
      </c>
      <c r="D9" s="13" t="inlineStr">
        <is>
          <t>L1–L2</t>
        </is>
      </c>
      <c r="E9" s="13" t="inlineStr">
        <is>
          <t>L1–L3</t>
        </is>
      </c>
      <c r="F9" s="13" t="inlineStr">
        <is>
          <t>L2–L3</t>
        </is>
      </c>
      <c r="G9" s="13" t="inlineStr">
        <is>
          <t>L1–N</t>
        </is>
      </c>
      <c r="H9" s="13" t="inlineStr">
        <is>
          <t>L2–N</t>
        </is>
      </c>
      <c r="I9" s="13" t="inlineStr">
        <is>
          <t>L3–N</t>
        </is>
      </c>
      <c r="J9" s="13" t="inlineStr">
        <is>
          <t>L1–E</t>
        </is>
      </c>
      <c r="K9" s="13" t="inlineStr">
        <is>
          <t>L2–E</t>
        </is>
      </c>
      <c r="L9" s="13" t="inlineStr">
        <is>
          <t>L3–E</t>
        </is>
      </c>
      <c r="M9" s="13" t="inlineStr">
        <is>
          <t>N–E</t>
        </is>
      </c>
      <c r="N9" s="13" t="inlineStr">
        <is>
          <t>Result</t>
        </is>
      </c>
      <c r="O9" s="13" t="inlineStr">
        <is>
          <t>Remarks</t>
        </is>
      </c>
    </row>
    <row r="10" ht="20" customHeight="1">
      <c r="B10" s="8" t="n">
        <v>1</v>
      </c>
      <c r="C10" s="6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3" t="n"/>
      <c r="N10" s="15">
        <f>IF(COUNTA(D10:M10)=0,"",IF(AND(COUNT(D10:M10)&gt;0,MIN(D10:M10)&lt;LIM_INS_AC),"Fail",IF(COUNTA(D10:M10)=10,"Pass","Incomplete")))</f>
        <v/>
      </c>
      <c r="O10" s="6" t="n"/>
    </row>
    <row r="11" ht="20" customHeight="1">
      <c r="B11" s="8" t="n">
        <v>2</v>
      </c>
      <c r="C11" s="6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3" t="n"/>
      <c r="N11" s="15">
        <f>IF(COUNTA(D11:M11)=0,"",IF(AND(COUNT(D11:M11)&gt;0,MIN(D11:M11)&lt;LIM_INS_AC),"Fail",IF(COUNTA(D11:M11)=10,"Pass","Incomplete")))</f>
        <v/>
      </c>
      <c r="O11" s="6" t="n"/>
    </row>
    <row r="12" ht="20" customHeight="1">
      <c r="B12" s="8" t="n">
        <v>3</v>
      </c>
      <c r="C12" s="6" t="n"/>
      <c r="D12" s="23" t="n"/>
      <c r="E12" s="23" t="n"/>
      <c r="F12" s="23" t="n"/>
      <c r="G12" s="23" t="n"/>
      <c r="H12" s="23" t="n"/>
      <c r="I12" s="23" t="n"/>
      <c r="J12" s="23" t="n"/>
      <c r="K12" s="23" t="n"/>
      <c r="L12" s="23" t="n"/>
      <c r="M12" s="23" t="n"/>
      <c r="N12" s="15">
        <f>IF(COUNTA(D12:M12)=0,"",IF(AND(COUNT(D12:M12)&gt;0,MIN(D12:M12)&lt;LIM_INS_AC),"Fail",IF(COUNTA(D12:M12)=10,"Pass","Incomplete")))</f>
        <v/>
      </c>
      <c r="O12" s="6" t="n"/>
    </row>
    <row r="13" ht="20" customHeight="1">
      <c r="B13" s="8" t="n">
        <v>4</v>
      </c>
      <c r="C13" s="6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3" t="n"/>
      <c r="M13" s="23" t="n"/>
      <c r="N13" s="15">
        <f>IF(COUNTA(D13:M13)=0,"",IF(AND(COUNT(D13:M13)&gt;0,MIN(D13:M13)&lt;LIM_INS_AC),"Fail",IF(COUNTA(D13:M13)=10,"Pass","Incomplete")))</f>
        <v/>
      </c>
      <c r="O13" s="6" t="n"/>
    </row>
    <row r="14" ht="20" customHeight="1">
      <c r="B14" s="8" t="n">
        <v>5</v>
      </c>
      <c r="C14" s="6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15">
        <f>IF(COUNTA(D14:M14)=0,"",IF(AND(COUNT(D14:M14)&gt;0,MIN(D14:M14)&lt;LIM_INS_AC),"Fail",IF(COUNTA(D14:M14)=10,"Pass","Incomplete")))</f>
        <v/>
      </c>
      <c r="O14" s="6" t="n"/>
    </row>
    <row r="15" ht="20" customHeight="1">
      <c r="B15" s="8" t="n">
        <v>6</v>
      </c>
      <c r="C15" s="6" t="n"/>
      <c r="D15" s="23" t="n"/>
      <c r="E15" s="23" t="n"/>
      <c r="F15" s="23" t="n"/>
      <c r="G15" s="23" t="n"/>
      <c r="H15" s="23" t="n"/>
      <c r="I15" s="23" t="n"/>
      <c r="J15" s="23" t="n"/>
      <c r="K15" s="23" t="n"/>
      <c r="L15" s="23" t="n"/>
      <c r="M15" s="23" t="n"/>
      <c r="N15" s="15">
        <f>IF(COUNTA(D15:M15)=0,"",IF(AND(COUNT(D15:M15)&gt;0,MIN(D15:M15)&lt;LIM_INS_AC),"Fail",IF(COUNTA(D15:M15)=10,"Pass","Incomplete")))</f>
        <v/>
      </c>
      <c r="O15" s="6" t="n"/>
    </row>
    <row r="16" ht="20" customHeight="1">
      <c r="B16" s="8" t="n">
        <v>7</v>
      </c>
      <c r="C16" s="6" t="n"/>
      <c r="D16" s="23" t="n"/>
      <c r="E16" s="23" t="n"/>
      <c r="F16" s="23" t="n"/>
      <c r="G16" s="23" t="n"/>
      <c r="H16" s="23" t="n"/>
      <c r="I16" s="23" t="n"/>
      <c r="J16" s="23" t="n"/>
      <c r="K16" s="23" t="n"/>
      <c r="L16" s="23" t="n"/>
      <c r="M16" s="23" t="n"/>
      <c r="N16" s="15">
        <f>IF(COUNTA(D16:M16)=0,"",IF(AND(COUNT(D16:M16)&gt;0,MIN(D16:M16)&lt;LIM_INS_AC),"Fail",IF(COUNTA(D16:M16)=10,"Pass","Incomplete")))</f>
        <v/>
      </c>
      <c r="O16" s="6" t="n"/>
    </row>
    <row r="17" ht="20" customHeight="1">
      <c r="B17" s="8" t="n">
        <v>8</v>
      </c>
      <c r="C17" s="6" t="n"/>
      <c r="D17" s="23" t="n"/>
      <c r="E17" s="23" t="n"/>
      <c r="F17" s="23" t="n"/>
      <c r="G17" s="23" t="n"/>
      <c r="H17" s="23" t="n"/>
      <c r="I17" s="23" t="n"/>
      <c r="J17" s="23" t="n"/>
      <c r="K17" s="23" t="n"/>
      <c r="L17" s="23" t="n"/>
      <c r="M17" s="23" t="n"/>
      <c r="N17" s="15">
        <f>IF(COUNTA(D17:M17)=0,"",IF(AND(COUNT(D17:M17)&gt;0,MIN(D17:M17)&lt;LIM_INS_AC),"Fail",IF(COUNTA(D17:M17)=10,"Pass","Incomplete")))</f>
        <v/>
      </c>
      <c r="O17" s="6" t="n"/>
    </row>
    <row r="18" ht="20" customHeight="1">
      <c r="B18" s="8" t="n">
        <v>9</v>
      </c>
      <c r="C18" s="6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  <c r="N18" s="15">
        <f>IF(COUNTA(D18:M18)=0,"",IF(AND(COUNT(D18:M18)&gt;0,MIN(D18:M18)&lt;LIM_INS_AC),"Fail",IF(COUNTA(D18:M18)=10,"Pass","Incomplete")))</f>
        <v/>
      </c>
      <c r="O18" s="6" t="n"/>
    </row>
    <row r="19" ht="20" customHeight="1">
      <c r="B19" s="8" t="n">
        <v>10</v>
      </c>
      <c r="C19" s="6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3" t="n"/>
      <c r="M19" s="23" t="n"/>
      <c r="N19" s="15">
        <f>IF(COUNTA(D19:M19)=0,"",IF(AND(COUNT(D19:M19)&gt;0,MIN(D19:M19)&lt;LIM_INS_AC),"Fail",IF(COUNTA(D19:M19)=10,"Pass","Incomplete")))</f>
        <v/>
      </c>
      <c r="O19" s="6" t="n"/>
    </row>
    <row r="20" ht="20" customHeight="1">
      <c r="B20" s="8" t="n">
        <v>11</v>
      </c>
      <c r="C20" s="6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15">
        <f>IF(COUNTA(D20:M20)=0,"",IF(AND(COUNT(D20:M20)&gt;0,MIN(D20:M20)&lt;LIM_INS_AC),"Fail",IF(COUNTA(D20:M20)=10,"Pass","Incomplete")))</f>
        <v/>
      </c>
      <c r="O20" s="6" t="n"/>
    </row>
    <row r="21" ht="20" customHeight="1">
      <c r="B21" s="8" t="n">
        <v>12</v>
      </c>
      <c r="C21" s="6" t="n"/>
      <c r="D21" s="23" t="n"/>
      <c r="E21" s="23" t="n"/>
      <c r="F21" s="23" t="n"/>
      <c r="G21" s="23" t="n"/>
      <c r="H21" s="23" t="n"/>
      <c r="I21" s="23" t="n"/>
      <c r="J21" s="23" t="n"/>
      <c r="K21" s="23" t="n"/>
      <c r="L21" s="23" t="n"/>
      <c r="M21" s="23" t="n"/>
      <c r="N21" s="15">
        <f>IF(COUNTA(D21:M21)=0,"",IF(AND(COUNT(D21:M21)&gt;0,MIN(D21:M21)&lt;LIM_INS_AC),"Fail",IF(COUNTA(D21:M21)=10,"Pass","Incomplete")))</f>
        <v/>
      </c>
      <c r="O21" s="6" t="n"/>
    </row>
    <row r="22" ht="22" customHeight="1">
      <c r="B22" s="16" t="inlineStr">
        <is>
          <t>Single-phase: type N/A in the cells that do not apply. If the tester shows “&gt;” or “OL”, type the highest number displayed.</t>
        </is>
      </c>
    </row>
    <row r="24">
      <c r="B24" s="4" t="inlineStr">
        <is>
          <t>EARTHING TEST</t>
        </is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</row>
    <row r="25" ht="28" customHeight="1">
      <c r="B25" s="13" t="inlineStr">
        <is>
          <t>Rod No.</t>
        </is>
      </c>
      <c r="C25" s="13" t="inlineStr">
        <is>
          <t>Location</t>
        </is>
      </c>
      <c r="D25" s="13" t="inlineStr">
        <is>
          <t>Value (Ω)</t>
        </is>
      </c>
      <c r="E25" s="13" t="n"/>
      <c r="F25" s="13" t="n"/>
      <c r="G25" s="13" t="inlineStr">
        <is>
          <t>Result</t>
        </is>
      </c>
      <c r="H25" s="13" t="n"/>
      <c r="I25" s="13" t="inlineStr">
        <is>
          <t>Remarks</t>
        </is>
      </c>
      <c r="J25" s="13" t="n"/>
      <c r="K25" s="13" t="n"/>
      <c r="L25" s="13" t="n"/>
      <c r="M25" s="13" t="n"/>
      <c r="N25" s="13" t="n"/>
      <c r="O25" s="13" t="n"/>
    </row>
    <row r="26" ht="20" customHeight="1">
      <c r="B26" s="8" t="n">
        <v>1</v>
      </c>
      <c r="C26" s="6" t="n"/>
      <c r="D26" s="25" t="n"/>
      <c r="E26" s="14" t="n"/>
      <c r="F26" s="14" t="n"/>
      <c r="G26" s="15">
        <f>IF(NOT(ISNUMBER(D26)),"",IF(D26&lt;=LIM_EARTH,"Pass","Fail"))</f>
        <v/>
      </c>
      <c r="H26" s="15" t="n"/>
      <c r="I26" s="6" t="n"/>
      <c r="J26" s="6" t="n"/>
      <c r="K26" s="6" t="n"/>
      <c r="L26" s="6" t="n"/>
      <c r="M26" s="6" t="n"/>
      <c r="N26" s="6" t="n"/>
      <c r="O26" s="6" t="n"/>
    </row>
    <row r="27" ht="20" customHeight="1">
      <c r="B27" s="8" t="n">
        <v>2</v>
      </c>
      <c r="C27" s="6" t="n"/>
      <c r="D27" s="25" t="n"/>
      <c r="E27" s="14" t="n"/>
      <c r="F27" s="14" t="n"/>
      <c r="G27" s="15">
        <f>IF(NOT(ISNUMBER(D27)),"",IF(D27&lt;=LIM_EARTH,"Pass","Fail"))</f>
        <v/>
      </c>
      <c r="H27" s="15" t="n"/>
      <c r="I27" s="6" t="n"/>
      <c r="J27" s="6" t="n"/>
      <c r="K27" s="6" t="n"/>
      <c r="L27" s="6" t="n"/>
      <c r="M27" s="6" t="n"/>
      <c r="N27" s="6" t="n"/>
      <c r="O27" s="6" t="n"/>
    </row>
    <row r="28" ht="20" customHeight="1">
      <c r="B28" s="8" t="n">
        <v>3</v>
      </c>
      <c r="C28" s="6" t="n"/>
      <c r="D28" s="25" t="n"/>
      <c r="E28" s="14" t="n"/>
      <c r="F28" s="14" t="n"/>
      <c r="G28" s="15">
        <f>IF(NOT(ISNUMBER(D28)),"",IF(D28&lt;=LIM_EARTH,"Pass","Fail"))</f>
        <v/>
      </c>
      <c r="H28" s="15" t="n"/>
      <c r="I28" s="6" t="n"/>
      <c r="J28" s="6" t="n"/>
      <c r="K28" s="6" t="n"/>
      <c r="L28" s="6" t="n"/>
      <c r="M28" s="6" t="n"/>
      <c r="N28" s="6" t="n"/>
      <c r="O28" s="6" t="n"/>
    </row>
    <row r="29" ht="20" customHeight="1">
      <c r="B29" s="8" t="n">
        <v>4</v>
      </c>
      <c r="C29" s="6" t="n"/>
      <c r="D29" s="25" t="n"/>
      <c r="E29" s="14" t="n"/>
      <c r="F29" s="14" t="n"/>
      <c r="G29" s="15">
        <f>IF(NOT(ISNUMBER(D29)),"",IF(D29&lt;=LIM_EARTH,"Pass","Fail"))</f>
        <v/>
      </c>
      <c r="H29" s="15" t="n"/>
      <c r="I29" s="6" t="n"/>
      <c r="J29" s="6" t="n"/>
      <c r="K29" s="6" t="n"/>
      <c r="L29" s="6" t="n"/>
      <c r="M29" s="6" t="n"/>
      <c r="N29" s="6" t="n"/>
      <c r="O29" s="6" t="n"/>
    </row>
    <row r="30" ht="20" customHeight="1">
      <c r="B30" s="8" t="n">
        <v>5</v>
      </c>
      <c r="C30" s="6" t="n"/>
      <c r="D30" s="25" t="n"/>
      <c r="E30" s="14" t="n"/>
      <c r="F30" s="14" t="n"/>
      <c r="G30" s="15">
        <f>IF(NOT(ISNUMBER(D30)),"",IF(D30&lt;=LIM_EARTH,"Pass","Fail"))</f>
        <v/>
      </c>
      <c r="H30" s="15" t="n"/>
      <c r="I30" s="6" t="n"/>
      <c r="J30" s="6" t="n"/>
      <c r="K30" s="6" t="n"/>
      <c r="L30" s="6" t="n"/>
      <c r="M30" s="6" t="n"/>
      <c r="N30" s="6" t="n"/>
      <c r="O30" s="6" t="n"/>
    </row>
    <row r="31" ht="20" customHeight="1">
      <c r="B31" s="8" t="n">
        <v>6</v>
      </c>
      <c r="C31" s="6" t="n"/>
      <c r="D31" s="25" t="n"/>
      <c r="E31" s="14" t="n"/>
      <c r="F31" s="14" t="n"/>
      <c r="G31" s="15">
        <f>IF(NOT(ISNUMBER(D31)),"",IF(D31&lt;=LIM_EARTH,"Pass","Fail"))</f>
        <v/>
      </c>
      <c r="H31" s="15" t="n"/>
      <c r="I31" s="6" t="n"/>
      <c r="J31" s="6" t="n"/>
      <c r="K31" s="6" t="n"/>
      <c r="L31" s="6" t="n"/>
      <c r="M31" s="6" t="n"/>
      <c r="N31" s="6" t="n"/>
      <c r="O31" s="6" t="n"/>
    </row>
    <row r="32" ht="20" customHeight="1">
      <c r="B32" s="8" t="n">
        <v>7</v>
      </c>
      <c r="C32" s="6" t="n"/>
      <c r="D32" s="25" t="n"/>
      <c r="E32" s="14" t="n"/>
      <c r="F32" s="14" t="n"/>
      <c r="G32" s="15">
        <f>IF(NOT(ISNUMBER(D32)),"",IF(D32&lt;=LIM_EARTH,"Pass","Fail"))</f>
        <v/>
      </c>
      <c r="H32" s="15" t="n"/>
      <c r="I32" s="6" t="n"/>
      <c r="J32" s="6" t="n"/>
      <c r="K32" s="6" t="n"/>
      <c r="L32" s="6" t="n"/>
      <c r="M32" s="6" t="n"/>
      <c r="N32" s="6" t="n"/>
      <c r="O32" s="6" t="n"/>
    </row>
    <row r="33" ht="20" customHeight="1">
      <c r="B33" s="8" t="n">
        <v>8</v>
      </c>
      <c r="C33" s="6" t="n"/>
      <c r="D33" s="25" t="n"/>
      <c r="E33" s="14" t="n"/>
      <c r="F33" s="14" t="n"/>
      <c r="G33" s="15">
        <f>IF(NOT(ISNUMBER(D33)),"",IF(D33&lt;=LIM_EARTH,"Pass","Fail"))</f>
        <v/>
      </c>
      <c r="H33" s="15" t="n"/>
      <c r="I33" s="6" t="n"/>
      <c r="J33" s="6" t="n"/>
      <c r="K33" s="6" t="n"/>
      <c r="L33" s="6" t="n"/>
      <c r="M33" s="6" t="n"/>
      <c r="N33" s="6" t="n"/>
      <c r="O33" s="6" t="n"/>
    </row>
    <row r="35" ht="28" customHeight="1">
      <c r="B35" s="5" t="inlineStr">
        <is>
          <t>Officer Name</t>
        </is>
      </c>
      <c r="C35" s="5" t="n"/>
      <c r="D35" s="6" t="n"/>
      <c r="E35" s="6" t="n"/>
      <c r="F35" s="6" t="n"/>
      <c r="G35" s="6" t="n"/>
      <c r="H35" s="6" t="n"/>
      <c r="I35" s="5" t="inlineStr">
        <is>
          <t>Signature</t>
        </is>
      </c>
      <c r="J35" s="5" t="n"/>
      <c r="K35" s="6" t="n"/>
      <c r="L35" s="6" t="n"/>
      <c r="M35" s="6" t="n"/>
      <c r="N35" s="6" t="n"/>
      <c r="O35" s="6" t="n"/>
    </row>
  </sheetData>
  <mergeCells count="42">
    <mergeCell ref="D35:H35"/>
    <mergeCell ref="B4:O4"/>
    <mergeCell ref="L7:M7"/>
    <mergeCell ref="B7:C7"/>
    <mergeCell ref="D27:F27"/>
    <mergeCell ref="N7:O7"/>
    <mergeCell ref="D32:F32"/>
    <mergeCell ref="G27:H27"/>
    <mergeCell ref="I29:O29"/>
    <mergeCell ref="D7:F7"/>
    <mergeCell ref="B22:O22"/>
    <mergeCell ref="K35:O35"/>
    <mergeCell ref="D28:F28"/>
    <mergeCell ref="I31:O31"/>
    <mergeCell ref="I30:O30"/>
    <mergeCell ref="G28:H28"/>
    <mergeCell ref="D30:F30"/>
    <mergeCell ref="D25:F25"/>
    <mergeCell ref="D33:F33"/>
    <mergeCell ref="I27:O27"/>
    <mergeCell ref="D29:F29"/>
    <mergeCell ref="G30:H30"/>
    <mergeCell ref="I26:O26"/>
    <mergeCell ref="G33:H33"/>
    <mergeCell ref="J7:K7"/>
    <mergeCell ref="D26:F26"/>
    <mergeCell ref="I32:O32"/>
    <mergeCell ref="I25:O25"/>
    <mergeCell ref="G26:H26"/>
    <mergeCell ref="I28:O28"/>
    <mergeCell ref="G29:H29"/>
    <mergeCell ref="I35:J35"/>
    <mergeCell ref="B6:O6"/>
    <mergeCell ref="B24:O24"/>
    <mergeCell ref="G25:H25"/>
    <mergeCell ref="D31:F31"/>
    <mergeCell ref="G32:H32"/>
    <mergeCell ref="B2:O3"/>
    <mergeCell ref="G31:H31"/>
    <mergeCell ref="G7:I7"/>
    <mergeCell ref="B35:C35"/>
    <mergeCell ref="I33:O33"/>
  </mergeCells>
  <conditionalFormatting sqref="N10:N21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"Incomplete"</formula>
    </cfRule>
    <cfRule type="cellIs" priority="4" operator="equal" dxfId="2">
      <formula>"IN PROGRESS"</formula>
    </cfRule>
    <cfRule type="cellIs" priority="5" operator="equal" dxfId="2">
      <formula>"INCOMPLETE"</formula>
    </cfRule>
    <cfRule type="cellIs" priority="6" operator="equal" dxfId="3">
      <formula>"N/A"</formula>
    </cfRule>
  </conditionalFormatting>
  <conditionalFormatting sqref="G26:G33"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"Incomplete"</formula>
    </cfRule>
    <cfRule type="cellIs" priority="10" operator="equal" dxfId="2">
      <formula>"IN PROGRESS"</formula>
    </cfRule>
    <cfRule type="cellIs" priority="11" operator="equal" dxfId="2">
      <formula>"INCOMPLETE"</formula>
    </cfRule>
    <cfRule type="cellIs" priority="12" operator="equal" dxfId="3">
      <formula>"N/A"</formula>
    </cfRule>
  </conditionalFormatting>
  <printOptions horizontalCentered="1"/>
  <pageMargins left="0.4" right="0.4" top="0.6" bottom="0.7" header="0.25" footer="0.3"/>
  <pageSetup orientation="landscape" paperSize="9" fitToHeight="0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C55A11"/>
    <outlinePr summaryBelow="1" summaryRight="1"/>
    <pageSetUpPr fitToPage="1"/>
  </sheetPr>
  <dimension ref="B2:I47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6" customWidth="1" min="2" max="2"/>
    <col width="26" customWidth="1" min="3" max="3"/>
    <col width="20" customWidth="1" min="4" max="4"/>
    <col width="10" customWidth="1" min="5" max="5"/>
    <col width="12" customWidth="1" min="6" max="6"/>
    <col width="12" customWidth="1" min="7" max="7"/>
    <col width="11" customWidth="1" min="8" max="8"/>
    <col width="34" customWidth="1" min="9" max="9"/>
  </cols>
  <sheetData>
    <row r="2">
      <c r="B2" s="10" t="inlineStr">
        <is>
          <t>THERMAL IMAGING TEST</t>
        </is>
      </c>
      <c r="C2" s="2" t="n"/>
      <c r="D2" s="2" t="n"/>
      <c r="E2" s="2" t="n"/>
      <c r="F2" s="2" t="n"/>
      <c r="G2" s="2" t="n"/>
      <c r="H2" s="2" t="n"/>
      <c r="I2" s="2" t="n"/>
    </row>
    <row r="3">
      <c r="B3" s="2" t="n"/>
      <c r="C3" s="2" t="n"/>
      <c r="D3" s="2" t="n"/>
      <c r="E3" s="2" t="n"/>
      <c r="F3" s="2" t="n"/>
      <c r="G3" s="2" t="n"/>
      <c r="H3" s="2" t="n"/>
      <c r="I3" s="2" t="n"/>
    </row>
    <row r="4" ht="16" customHeight="1">
      <c r="B4" s="3">
        <f>"Project: "&amp;IF(Cover!$C$7="","(enter on Cover sheet)",Cover!$C$7)&amp;"     |     Regen Renewables (Pvt) Ltd."</f>
        <v/>
      </c>
    </row>
    <row r="5" ht="6" customHeight="1"/>
    <row r="6">
      <c r="B6" s="4" t="inlineStr">
        <is>
          <t>TEST CONDITIONS</t>
        </is>
      </c>
      <c r="C6" s="4" t="n"/>
      <c r="D6" s="4" t="n"/>
      <c r="E6" s="4" t="n"/>
      <c r="F6" s="4" t="n"/>
      <c r="G6" s="4" t="n"/>
      <c r="H6" s="4" t="n"/>
      <c r="I6" s="4" t="n"/>
    </row>
    <row r="7" ht="22" customHeight="1">
      <c r="B7" s="5" t="inlineStr">
        <is>
          <t>Date</t>
        </is>
      </c>
      <c r="C7" s="5" t="n"/>
      <c r="D7" s="17" t="n"/>
      <c r="E7" s="14" t="n"/>
      <c r="F7" s="5" t="inlineStr">
        <is>
          <t>Ambient Temp (°C)</t>
        </is>
      </c>
      <c r="G7" s="5" t="n"/>
      <c r="H7" s="23" t="n"/>
      <c r="I7" s="14" t="n"/>
    </row>
    <row r="8" ht="22" customHeight="1">
      <c r="B8" s="5" t="inlineStr">
        <is>
          <t>Irradiance (W/m²)</t>
        </is>
      </c>
      <c r="C8" s="5" t="n"/>
      <c r="D8" s="14" t="n"/>
      <c r="E8" s="14" t="n"/>
      <c r="F8" s="5" t="inlineStr">
        <is>
          <t>Tested By</t>
        </is>
      </c>
      <c r="G8" s="5" t="n"/>
      <c r="H8" s="6" t="n"/>
      <c r="I8" s="6" t="n"/>
    </row>
    <row r="10">
      <c r="B10" s="4" t="inlineStr">
        <is>
          <t>SOLAR PANELS — CRITICAL / HOT PANELS</t>
        </is>
      </c>
      <c r="C10" s="4" t="n"/>
      <c r="D10" s="4" t="n"/>
      <c r="E10" s="4" t="n"/>
      <c r="F10" s="4" t="n"/>
      <c r="G10" s="4" t="n"/>
      <c r="H10" s="4" t="n"/>
      <c r="I10" s="4" t="n"/>
    </row>
    <row r="11" ht="34" customHeight="1">
      <c r="B11" s="13" t="inlineStr">
        <is>
          <t>No.</t>
        </is>
      </c>
      <c r="C11" s="13" t="inlineStr">
        <is>
          <t>Inverter / String</t>
        </is>
      </c>
      <c r="D11" s="13" t="inlineStr">
        <is>
          <t>Panel Serial No.</t>
        </is>
      </c>
      <c r="E11" s="13" t="inlineStr">
        <is>
          <t>Time</t>
        </is>
      </c>
      <c r="F11" s="13" t="inlineStr">
        <is>
          <t>Temp (°C)</t>
        </is>
      </c>
      <c r="G11" s="13" t="inlineStr">
        <is>
          <t>ΔT vs ambient (°C)</t>
        </is>
      </c>
      <c r="H11" s="13" t="inlineStr">
        <is>
          <t>Result</t>
        </is>
      </c>
      <c r="I11" s="13" t="inlineStr">
        <is>
          <t>Comment</t>
        </is>
      </c>
    </row>
    <row r="12" ht="20" customHeight="1">
      <c r="B12" s="8" t="n">
        <v>1</v>
      </c>
      <c r="C12" s="6" t="n"/>
      <c r="D12" s="6" t="n"/>
      <c r="E12" s="26" t="n"/>
      <c r="F12" s="23" t="n"/>
      <c r="G12" s="28">
        <f>IF(AND(ISNUMBER(F12),ISNUMBER($H$7)),F12-$H$7,"")</f>
        <v/>
      </c>
      <c r="H12" s="15">
        <f>IF(NOT(ISNUMBER(F12)),"",IF(NOT(ISNUMBER(G12)),"Incomplete",IF(G12&gt;LIM_DT,"Fail","Pass")))</f>
        <v/>
      </c>
      <c r="I12" s="6" t="n"/>
    </row>
    <row r="13" ht="20" customHeight="1">
      <c r="B13" s="8" t="n">
        <v>2</v>
      </c>
      <c r="C13" s="6" t="n"/>
      <c r="D13" s="6" t="n"/>
      <c r="E13" s="26" t="n"/>
      <c r="F13" s="23" t="n"/>
      <c r="G13" s="28">
        <f>IF(AND(ISNUMBER(F13),ISNUMBER($H$7)),F13-$H$7,"")</f>
        <v/>
      </c>
      <c r="H13" s="15">
        <f>IF(NOT(ISNUMBER(F13)),"",IF(NOT(ISNUMBER(G13)),"Incomplete",IF(G13&gt;LIM_DT,"Fail","Pass")))</f>
        <v/>
      </c>
      <c r="I13" s="6" t="n"/>
    </row>
    <row r="14" ht="20" customHeight="1">
      <c r="B14" s="8" t="n">
        <v>3</v>
      </c>
      <c r="C14" s="6" t="n"/>
      <c r="D14" s="6" t="n"/>
      <c r="E14" s="26" t="n"/>
      <c r="F14" s="23" t="n"/>
      <c r="G14" s="28">
        <f>IF(AND(ISNUMBER(F14),ISNUMBER($H$7)),F14-$H$7,"")</f>
        <v/>
      </c>
      <c r="H14" s="15">
        <f>IF(NOT(ISNUMBER(F14)),"",IF(NOT(ISNUMBER(G14)),"Incomplete",IF(G14&gt;LIM_DT,"Fail","Pass")))</f>
        <v/>
      </c>
      <c r="I14" s="6" t="n"/>
    </row>
    <row r="15" ht="20" customHeight="1">
      <c r="B15" s="8" t="n">
        <v>4</v>
      </c>
      <c r="C15" s="6" t="n"/>
      <c r="D15" s="6" t="n"/>
      <c r="E15" s="26" t="n"/>
      <c r="F15" s="23" t="n"/>
      <c r="G15" s="28">
        <f>IF(AND(ISNUMBER(F15),ISNUMBER($H$7)),F15-$H$7,"")</f>
        <v/>
      </c>
      <c r="H15" s="15">
        <f>IF(NOT(ISNUMBER(F15)),"",IF(NOT(ISNUMBER(G15)),"Incomplete",IF(G15&gt;LIM_DT,"Fail","Pass")))</f>
        <v/>
      </c>
      <c r="I15" s="6" t="n"/>
    </row>
    <row r="16" ht="20" customHeight="1">
      <c r="B16" s="8" t="n">
        <v>5</v>
      </c>
      <c r="C16" s="6" t="n"/>
      <c r="D16" s="6" t="n"/>
      <c r="E16" s="26" t="n"/>
      <c r="F16" s="23" t="n"/>
      <c r="G16" s="28">
        <f>IF(AND(ISNUMBER(F16),ISNUMBER($H$7)),F16-$H$7,"")</f>
        <v/>
      </c>
      <c r="H16" s="15">
        <f>IF(NOT(ISNUMBER(F16)),"",IF(NOT(ISNUMBER(G16)),"Incomplete",IF(G16&gt;LIM_DT,"Fail","Pass")))</f>
        <v/>
      </c>
      <c r="I16" s="6" t="n"/>
    </row>
    <row r="17" ht="20" customHeight="1">
      <c r="B17" s="8" t="n">
        <v>6</v>
      </c>
      <c r="C17" s="6" t="n"/>
      <c r="D17" s="6" t="n"/>
      <c r="E17" s="26" t="n"/>
      <c r="F17" s="23" t="n"/>
      <c r="G17" s="28">
        <f>IF(AND(ISNUMBER(F17),ISNUMBER($H$7)),F17-$H$7,"")</f>
        <v/>
      </c>
      <c r="H17" s="15">
        <f>IF(NOT(ISNUMBER(F17)),"",IF(NOT(ISNUMBER(G17)),"Incomplete",IF(G17&gt;LIM_DT,"Fail","Pass")))</f>
        <v/>
      </c>
      <c r="I17" s="6" t="n"/>
    </row>
    <row r="18" ht="20" customHeight="1">
      <c r="B18" s="8" t="n">
        <v>7</v>
      </c>
      <c r="C18" s="6" t="n"/>
      <c r="D18" s="6" t="n"/>
      <c r="E18" s="26" t="n"/>
      <c r="F18" s="23" t="n"/>
      <c r="G18" s="28">
        <f>IF(AND(ISNUMBER(F18),ISNUMBER($H$7)),F18-$H$7,"")</f>
        <v/>
      </c>
      <c r="H18" s="15">
        <f>IF(NOT(ISNUMBER(F18)),"",IF(NOT(ISNUMBER(G18)),"Incomplete",IF(G18&gt;LIM_DT,"Fail","Pass")))</f>
        <v/>
      </c>
      <c r="I18" s="6" t="n"/>
    </row>
    <row r="19" ht="20" customHeight="1">
      <c r="B19" s="8" t="n">
        <v>8</v>
      </c>
      <c r="C19" s="6" t="n"/>
      <c r="D19" s="6" t="n"/>
      <c r="E19" s="26" t="n"/>
      <c r="F19" s="23" t="n"/>
      <c r="G19" s="28">
        <f>IF(AND(ISNUMBER(F19),ISNUMBER($H$7)),F19-$H$7,"")</f>
        <v/>
      </c>
      <c r="H19" s="15">
        <f>IF(NOT(ISNUMBER(F19)),"",IF(NOT(ISNUMBER(G19)),"Incomplete",IF(G19&gt;LIM_DT,"Fail","Pass")))</f>
        <v/>
      </c>
      <c r="I19" s="6" t="n"/>
    </row>
    <row r="20" ht="20" customHeight="1">
      <c r="B20" s="8" t="n">
        <v>9</v>
      </c>
      <c r="C20" s="6" t="n"/>
      <c r="D20" s="6" t="n"/>
      <c r="E20" s="26" t="n"/>
      <c r="F20" s="23" t="n"/>
      <c r="G20" s="28">
        <f>IF(AND(ISNUMBER(F20),ISNUMBER($H$7)),F20-$H$7,"")</f>
        <v/>
      </c>
      <c r="H20" s="15">
        <f>IF(NOT(ISNUMBER(F20)),"",IF(NOT(ISNUMBER(G20)),"Incomplete",IF(G20&gt;LIM_DT,"Fail","Pass")))</f>
        <v/>
      </c>
      <c r="I20" s="6" t="n"/>
    </row>
    <row r="21" ht="20" customHeight="1">
      <c r="B21" s="8" t="n">
        <v>10</v>
      </c>
      <c r="C21" s="6" t="n"/>
      <c r="D21" s="6" t="n"/>
      <c r="E21" s="26" t="n"/>
      <c r="F21" s="23" t="n"/>
      <c r="G21" s="28">
        <f>IF(AND(ISNUMBER(F21),ISNUMBER($H$7)),F21-$H$7,"")</f>
        <v/>
      </c>
      <c r="H21" s="15">
        <f>IF(NOT(ISNUMBER(F21)),"",IF(NOT(ISNUMBER(G21)),"Incomplete",IF(G21&gt;LIM_DT,"Fail","Pass")))</f>
        <v/>
      </c>
      <c r="I21" s="6" t="n"/>
    </row>
    <row r="23">
      <c r="B23" s="4" t="inlineStr">
        <is>
          <t>INVERTERS</t>
        </is>
      </c>
      <c r="C23" s="4" t="n"/>
      <c r="D23" s="4" t="n"/>
      <c r="E23" s="4" t="n"/>
      <c r="F23" s="4" t="n"/>
      <c r="G23" s="4" t="n"/>
      <c r="H23" s="4" t="n"/>
      <c r="I23" s="4" t="n"/>
    </row>
    <row r="24" ht="34" customHeight="1">
      <c r="B24" s="13" t="inlineStr">
        <is>
          <t>No.</t>
        </is>
      </c>
      <c r="C24" s="13" t="inlineStr">
        <is>
          <t>Inverter / Room</t>
        </is>
      </c>
      <c r="D24" s="13" t="inlineStr">
        <is>
          <t>Point Inspected</t>
        </is>
      </c>
      <c r="E24" s="13" t="inlineStr">
        <is>
          <t>Time</t>
        </is>
      </c>
      <c r="F24" s="13" t="inlineStr">
        <is>
          <t>Temp (°C)</t>
        </is>
      </c>
      <c r="G24" s="13" t="inlineStr">
        <is>
          <t>ΔT vs ambient (°C)</t>
        </is>
      </c>
      <c r="H24" s="13" t="inlineStr">
        <is>
          <t>Result</t>
        </is>
      </c>
      <c r="I24" s="13" t="inlineStr">
        <is>
          <t>Comment</t>
        </is>
      </c>
    </row>
    <row r="25" ht="20" customHeight="1">
      <c r="B25" s="8" t="n">
        <v>1</v>
      </c>
      <c r="C25" s="6" t="n"/>
      <c r="D25" s="6" t="n"/>
      <c r="E25" s="26" t="n"/>
      <c r="F25" s="23" t="n"/>
      <c r="G25" s="28">
        <f>IF(AND(ISNUMBER(F25),ISNUMBER($H$7)),F25-$H$7,"")</f>
        <v/>
      </c>
      <c r="H25" s="15">
        <f>IF(NOT(ISNUMBER(F25)),"",IF(NOT(ISNUMBER(G25)),"Incomplete",IF(G25&gt;LIM_DT,"Fail","Pass")))</f>
        <v/>
      </c>
      <c r="I25" s="6" t="n"/>
    </row>
    <row r="26" ht="20" customHeight="1">
      <c r="B26" s="8" t="n">
        <v>2</v>
      </c>
      <c r="C26" s="6" t="n"/>
      <c r="D26" s="6" t="n"/>
      <c r="E26" s="26" t="n"/>
      <c r="F26" s="23" t="n"/>
      <c r="G26" s="28">
        <f>IF(AND(ISNUMBER(F26),ISNUMBER($H$7)),F26-$H$7,"")</f>
        <v/>
      </c>
      <c r="H26" s="15">
        <f>IF(NOT(ISNUMBER(F26)),"",IF(NOT(ISNUMBER(G26)),"Incomplete",IF(G26&gt;LIM_DT,"Fail","Pass")))</f>
        <v/>
      </c>
      <c r="I26" s="6" t="n"/>
    </row>
    <row r="27" ht="20" customHeight="1">
      <c r="B27" s="8" t="n">
        <v>3</v>
      </c>
      <c r="C27" s="6" t="n"/>
      <c r="D27" s="6" t="n"/>
      <c r="E27" s="26" t="n"/>
      <c r="F27" s="23" t="n"/>
      <c r="G27" s="28">
        <f>IF(AND(ISNUMBER(F27),ISNUMBER($H$7)),F27-$H$7,"")</f>
        <v/>
      </c>
      <c r="H27" s="15">
        <f>IF(NOT(ISNUMBER(F27)),"",IF(NOT(ISNUMBER(G27)),"Incomplete",IF(G27&gt;LIM_DT,"Fail","Pass")))</f>
        <v/>
      </c>
      <c r="I27" s="6" t="n"/>
    </row>
    <row r="28" ht="20" customHeight="1">
      <c r="B28" s="8" t="n">
        <v>4</v>
      </c>
      <c r="C28" s="6" t="n"/>
      <c r="D28" s="6" t="n"/>
      <c r="E28" s="26" t="n"/>
      <c r="F28" s="23" t="n"/>
      <c r="G28" s="28">
        <f>IF(AND(ISNUMBER(F28),ISNUMBER($H$7)),F28-$H$7,"")</f>
        <v/>
      </c>
      <c r="H28" s="15">
        <f>IF(NOT(ISNUMBER(F28)),"",IF(NOT(ISNUMBER(G28)),"Incomplete",IF(G28&gt;LIM_DT,"Fail","Pass")))</f>
        <v/>
      </c>
      <c r="I28" s="6" t="n"/>
    </row>
    <row r="29" ht="20" customHeight="1">
      <c r="B29" s="8" t="n">
        <v>5</v>
      </c>
      <c r="C29" s="6" t="n"/>
      <c r="D29" s="6" t="n"/>
      <c r="E29" s="26" t="n"/>
      <c r="F29" s="23" t="n"/>
      <c r="G29" s="28">
        <f>IF(AND(ISNUMBER(F29),ISNUMBER($H$7)),F29-$H$7,"")</f>
        <v/>
      </c>
      <c r="H29" s="15">
        <f>IF(NOT(ISNUMBER(F29)),"",IF(NOT(ISNUMBER(G29)),"Incomplete",IF(G29&gt;LIM_DT,"Fail","Pass")))</f>
        <v/>
      </c>
      <c r="I29" s="6" t="n"/>
    </row>
    <row r="30" ht="20" customHeight="1">
      <c r="B30" s="8" t="n">
        <v>6</v>
      </c>
      <c r="C30" s="6" t="n"/>
      <c r="D30" s="6" t="n"/>
      <c r="E30" s="26" t="n"/>
      <c r="F30" s="23" t="n"/>
      <c r="G30" s="28">
        <f>IF(AND(ISNUMBER(F30),ISNUMBER($H$7)),F30-$H$7,"")</f>
        <v/>
      </c>
      <c r="H30" s="15">
        <f>IF(NOT(ISNUMBER(F30)),"",IF(NOT(ISNUMBER(G30)),"Incomplete",IF(G30&gt;LIM_DT,"Fail","Pass")))</f>
        <v/>
      </c>
      <c r="I30" s="6" t="n"/>
    </row>
    <row r="31" ht="20" customHeight="1">
      <c r="B31" s="8" t="n">
        <v>7</v>
      </c>
      <c r="C31" s="6" t="n"/>
      <c r="D31" s="6" t="n"/>
      <c r="E31" s="26" t="n"/>
      <c r="F31" s="23" t="n"/>
      <c r="G31" s="28">
        <f>IF(AND(ISNUMBER(F31),ISNUMBER($H$7)),F31-$H$7,"")</f>
        <v/>
      </c>
      <c r="H31" s="15">
        <f>IF(NOT(ISNUMBER(F31)),"",IF(NOT(ISNUMBER(G31)),"Incomplete",IF(G31&gt;LIM_DT,"Fail","Pass")))</f>
        <v/>
      </c>
      <c r="I31" s="6" t="n"/>
    </row>
    <row r="32" ht="20" customHeight="1">
      <c r="B32" s="8" t="n">
        <v>8</v>
      </c>
      <c r="C32" s="6" t="n"/>
      <c r="D32" s="6" t="n"/>
      <c r="E32" s="26" t="n"/>
      <c r="F32" s="23" t="n"/>
      <c r="G32" s="28">
        <f>IF(AND(ISNUMBER(F32),ISNUMBER($H$7)),F32-$H$7,"")</f>
        <v/>
      </c>
      <c r="H32" s="15">
        <f>IF(NOT(ISNUMBER(F32)),"",IF(NOT(ISNUMBER(G32)),"Incomplete",IF(G32&gt;LIM_DT,"Fail","Pass")))</f>
        <v/>
      </c>
      <c r="I32" s="6" t="n"/>
    </row>
    <row r="34">
      <c r="B34" s="4" t="inlineStr">
        <is>
          <t>SWITCHGEAR PANEL — BREAKERS</t>
        </is>
      </c>
      <c r="C34" s="4" t="n"/>
      <c r="D34" s="4" t="n"/>
      <c r="E34" s="4" t="n"/>
      <c r="F34" s="4" t="n"/>
      <c r="G34" s="4" t="n"/>
      <c r="H34" s="4" t="n"/>
      <c r="I34" s="4" t="n"/>
    </row>
    <row r="35" ht="34" customHeight="1">
      <c r="B35" s="13" t="inlineStr">
        <is>
          <t>No.</t>
        </is>
      </c>
      <c r="C35" s="13" t="inlineStr">
        <is>
          <t>Breaker (Main / Inverter)</t>
        </is>
      </c>
      <c r="D35" s="13" t="inlineStr">
        <is>
          <t>Rating / Ref</t>
        </is>
      </c>
      <c r="E35" s="13" t="inlineStr">
        <is>
          <t>Time</t>
        </is>
      </c>
      <c r="F35" s="13" t="inlineStr">
        <is>
          <t>IN Temp (°C)</t>
        </is>
      </c>
      <c r="G35" s="13" t="inlineStr">
        <is>
          <t>OUT Temp (°C)</t>
        </is>
      </c>
      <c r="H35" s="13" t="inlineStr">
        <is>
          <t>Result</t>
        </is>
      </c>
      <c r="I35" s="13" t="inlineStr">
        <is>
          <t>Comment</t>
        </is>
      </c>
    </row>
    <row r="36" ht="20" customHeight="1">
      <c r="B36" s="8" t="n">
        <v>1</v>
      </c>
      <c r="C36" s="6" t="inlineStr">
        <is>
          <t>Main Breaker</t>
        </is>
      </c>
      <c r="D36" s="6" t="n"/>
      <c r="E36" s="26" t="n"/>
      <c r="F36" s="23" t="n"/>
      <c r="G36" s="23" t="n"/>
      <c r="H36" s="15">
        <f>IF(COUNT(F36:G36)=0,"",IF(NOT(ISNUMBER($H$7)),"Incomplete",IF(MAX(F36:G36)-$H$7&gt;LIM_DT,"Fail","Pass")))</f>
        <v/>
      </c>
      <c r="I36" s="6" t="n"/>
    </row>
    <row r="37" ht="20" customHeight="1">
      <c r="B37" s="8" t="n">
        <v>2</v>
      </c>
      <c r="C37" s="6" t="n"/>
      <c r="D37" s="6" t="n"/>
      <c r="E37" s="26" t="n"/>
      <c r="F37" s="23" t="n"/>
      <c r="G37" s="23" t="n"/>
      <c r="H37" s="15">
        <f>IF(COUNT(F37:G37)=0,"",IF(NOT(ISNUMBER($H$7)),"Incomplete",IF(MAX(F37:G37)-$H$7&gt;LIM_DT,"Fail","Pass")))</f>
        <v/>
      </c>
      <c r="I37" s="6" t="n"/>
    </row>
    <row r="38" ht="20" customHeight="1">
      <c r="B38" s="8" t="n">
        <v>3</v>
      </c>
      <c r="C38" s="6" t="n"/>
      <c r="D38" s="6" t="n"/>
      <c r="E38" s="26" t="n"/>
      <c r="F38" s="23" t="n"/>
      <c r="G38" s="23" t="n"/>
      <c r="H38" s="15">
        <f>IF(COUNT(F38:G38)=0,"",IF(NOT(ISNUMBER($H$7)),"Incomplete",IF(MAX(F38:G38)-$H$7&gt;LIM_DT,"Fail","Pass")))</f>
        <v/>
      </c>
      <c r="I38" s="6" t="n"/>
    </row>
    <row r="39" ht="20" customHeight="1">
      <c r="B39" s="8" t="n">
        <v>4</v>
      </c>
      <c r="C39" s="6" t="n"/>
      <c r="D39" s="6" t="n"/>
      <c r="E39" s="26" t="n"/>
      <c r="F39" s="23" t="n"/>
      <c r="G39" s="23" t="n"/>
      <c r="H39" s="15">
        <f>IF(COUNT(F39:G39)=0,"",IF(NOT(ISNUMBER($H$7)),"Incomplete",IF(MAX(F39:G39)-$H$7&gt;LIM_DT,"Fail","Pass")))</f>
        <v/>
      </c>
      <c r="I39" s="6" t="n"/>
    </row>
    <row r="40" ht="20" customHeight="1">
      <c r="B40" s="8" t="n">
        <v>5</v>
      </c>
      <c r="C40" s="6" t="n"/>
      <c r="D40" s="6" t="n"/>
      <c r="E40" s="26" t="n"/>
      <c r="F40" s="23" t="n"/>
      <c r="G40" s="23" t="n"/>
      <c r="H40" s="15">
        <f>IF(COUNT(F40:G40)=0,"",IF(NOT(ISNUMBER($H$7)),"Incomplete",IF(MAX(F40:G40)-$H$7&gt;LIM_DT,"Fail","Pass")))</f>
        <v/>
      </c>
      <c r="I40" s="6" t="n"/>
    </row>
    <row r="41" ht="20" customHeight="1">
      <c r="B41" s="8" t="n">
        <v>6</v>
      </c>
      <c r="C41" s="6" t="n"/>
      <c r="D41" s="6" t="n"/>
      <c r="E41" s="26" t="n"/>
      <c r="F41" s="23" t="n"/>
      <c r="G41" s="23" t="n"/>
      <c r="H41" s="15">
        <f>IF(COUNT(F41:G41)=0,"",IF(NOT(ISNUMBER($H$7)),"Incomplete",IF(MAX(F41:G41)-$H$7&gt;LIM_DT,"Fail","Pass")))</f>
        <v/>
      </c>
      <c r="I41" s="6" t="n"/>
    </row>
    <row r="42" ht="20" customHeight="1">
      <c r="B42" s="8" t="n">
        <v>7</v>
      </c>
      <c r="C42" s="6" t="n"/>
      <c r="D42" s="6" t="n"/>
      <c r="E42" s="26" t="n"/>
      <c r="F42" s="23" t="n"/>
      <c r="G42" s="23" t="n"/>
      <c r="H42" s="15">
        <f>IF(COUNT(F42:G42)=0,"",IF(NOT(ISNUMBER($H$7)),"Incomplete",IF(MAX(F42:G42)-$H$7&gt;LIM_DT,"Fail","Pass")))</f>
        <v/>
      </c>
      <c r="I42" s="6" t="n"/>
    </row>
    <row r="43" ht="20" customHeight="1">
      <c r="B43" s="8" t="n">
        <v>8</v>
      </c>
      <c r="C43" s="6" t="n"/>
      <c r="D43" s="6" t="n"/>
      <c r="E43" s="26" t="n"/>
      <c r="F43" s="23" t="n"/>
      <c r="G43" s="23" t="n"/>
      <c r="H43" s="15">
        <f>IF(COUNT(F43:G43)=0,"",IF(NOT(ISNUMBER($H$7)),"Incomplete",IF(MAX(F43:G43)-$H$7&gt;LIM_DT,"Fail","Pass")))</f>
        <v/>
      </c>
      <c r="I43" s="6" t="n"/>
    </row>
    <row r="44" ht="20" customHeight="1">
      <c r="B44" s="8" t="n">
        <v>9</v>
      </c>
      <c r="C44" s="6" t="n"/>
      <c r="D44" s="6" t="n"/>
      <c r="E44" s="26" t="n"/>
      <c r="F44" s="23" t="n"/>
      <c r="G44" s="23" t="n"/>
      <c r="H44" s="15">
        <f>IF(COUNT(F44:G44)=0,"",IF(NOT(ISNUMBER($H$7)),"Incomplete",IF(MAX(F44:G44)-$H$7&gt;LIM_DT,"Fail","Pass")))</f>
        <v/>
      </c>
      <c r="I44" s="6" t="n"/>
    </row>
    <row r="45" ht="24" customHeight="1">
      <c r="B45" s="16" t="inlineStr">
        <is>
          <t>Result = Fail when the hottest reading is more than the ΔT limit (see “Equipment and Limits”) above ambient. Attach thermal images to the report separately.</t>
        </is>
      </c>
    </row>
    <row r="47" ht="28" customHeight="1">
      <c r="B47" s="5" t="inlineStr">
        <is>
          <t>Officer Name</t>
        </is>
      </c>
      <c r="C47" s="5" t="n"/>
      <c r="D47" s="6" t="n"/>
      <c r="E47" s="5" t="inlineStr">
        <is>
          <t>Signature</t>
        </is>
      </c>
      <c r="F47" s="5" t="n"/>
      <c r="G47" s="6" t="n"/>
      <c r="H47" s="6" t="n"/>
      <c r="I47" s="6" t="n"/>
    </row>
  </sheetData>
  <mergeCells count="18">
    <mergeCell ref="D8:E8"/>
    <mergeCell ref="E47:F47"/>
    <mergeCell ref="G47:I47"/>
    <mergeCell ref="B47:C47"/>
    <mergeCell ref="D7:E7"/>
    <mergeCell ref="B7:C7"/>
    <mergeCell ref="B45:I45"/>
    <mergeCell ref="B6:I6"/>
    <mergeCell ref="H7:I7"/>
    <mergeCell ref="B34:I34"/>
    <mergeCell ref="B2:I3"/>
    <mergeCell ref="B10:I10"/>
    <mergeCell ref="H8:I8"/>
    <mergeCell ref="B23:I23"/>
    <mergeCell ref="B8:C8"/>
    <mergeCell ref="B4:I4"/>
    <mergeCell ref="F7:G7"/>
    <mergeCell ref="F8:G8"/>
  </mergeCells>
  <conditionalFormatting sqref="H12:H21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"Incomplete"</formula>
    </cfRule>
    <cfRule type="cellIs" priority="4" operator="equal" dxfId="2">
      <formula>"IN PROGRESS"</formula>
    </cfRule>
    <cfRule type="cellIs" priority="5" operator="equal" dxfId="2">
      <formula>"INCOMPLETE"</formula>
    </cfRule>
    <cfRule type="cellIs" priority="6" operator="equal" dxfId="3">
      <formula>"N/A"</formula>
    </cfRule>
  </conditionalFormatting>
  <conditionalFormatting sqref="H25:H32"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"Incomplete"</formula>
    </cfRule>
    <cfRule type="cellIs" priority="10" operator="equal" dxfId="2">
      <formula>"IN PROGRESS"</formula>
    </cfRule>
    <cfRule type="cellIs" priority="11" operator="equal" dxfId="2">
      <formula>"INCOMPLETE"</formula>
    </cfRule>
    <cfRule type="cellIs" priority="12" operator="equal" dxfId="3">
      <formula>"N/A"</formula>
    </cfRule>
  </conditionalFormatting>
  <conditionalFormatting sqref="H36:H44">
    <cfRule type="cellIs" priority="13" operator="equal" dxfId="0">
      <formula>"Pass"</formula>
    </cfRule>
    <cfRule type="cellIs" priority="14" operator="equal" dxfId="1">
      <formula>"Fail"</formula>
    </cfRule>
    <cfRule type="cellIs" priority="15" operator="equal" dxfId="2">
      <formula>"Incomplete"</formula>
    </cfRule>
    <cfRule type="cellIs" priority="16" operator="equal" dxfId="2">
      <formula>"IN PROGRESS"</formula>
    </cfRule>
    <cfRule type="cellIs" priority="17" operator="equal" dxfId="2">
      <formula>"INCOMPLETE"</formula>
    </cfRule>
    <cfRule type="cellIs" priority="18" operator="equal" dxfId="3">
      <formula>"N/A"</formula>
    </cfRule>
  </conditionalFormatting>
  <printOptions horizontalCentered="1"/>
  <pageMargins left="0.4" right="0.4" top="0.6" bottom="0.7" header="0.25" footer="0.3"/>
  <pageSetup orientation="landscape" paperSize="9" fitToHeight="0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1F6E43"/>
    <outlinePr summaryBelow="1" summaryRight="1"/>
    <pageSetUpPr fitToPage="1"/>
  </sheetPr>
  <dimension ref="B2:J49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6" customWidth="1" min="2" max="2"/>
    <col width="28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24" customWidth="1" min="10" max="10"/>
  </cols>
  <sheetData>
    <row r="2">
      <c r="B2" s="10" t="inlineStr">
        <is>
          <t>BATTERY TEST  (hybrid / battery-backed systems)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 ht="16" customHeight="1">
      <c r="B4" s="3">
        <f>"Project: "&amp;IF(Cover!$C$7="","(enter on Cover sheet)",Cover!$C$7)&amp;"     |     Regen Renewables (Pvt) Ltd."</f>
        <v/>
      </c>
    </row>
    <row r="5" ht="6" customHeight="1"/>
    <row r="6">
      <c r="B6" s="4" t="inlineStr">
        <is>
          <t>BATTERY SYSTEM DETAILS</t>
        </is>
      </c>
      <c r="C6" s="4" t="n"/>
      <c r="D6" s="4" t="n"/>
      <c r="E6" s="4" t="n"/>
      <c r="F6" s="4" t="n"/>
      <c r="G6" s="4" t="n"/>
      <c r="H6" s="4" t="n"/>
      <c r="I6" s="4" t="n"/>
      <c r="J6" s="4" t="n"/>
    </row>
    <row r="7" ht="22" customHeight="1">
      <c r="B7" s="5" t="inlineStr">
        <is>
          <t>Battery Brand &amp; Model</t>
        </is>
      </c>
      <c r="C7" s="5" t="n"/>
      <c r="D7" s="6" t="n"/>
      <c r="E7" s="6" t="n"/>
      <c r="F7" s="5" t="inlineStr">
        <is>
          <t>No. of Modules / Racks</t>
        </is>
      </c>
      <c r="G7" s="5" t="n"/>
      <c r="H7" s="6" t="n"/>
      <c r="I7" s="6" t="n"/>
      <c r="J7" s="6" t="n"/>
    </row>
    <row r="8" ht="22" customHeight="1">
      <c r="B8" s="5" t="inlineStr">
        <is>
          <t>Battery Type</t>
        </is>
      </c>
      <c r="C8" s="5" t="n"/>
      <c r="D8" s="6" t="n"/>
      <c r="E8" s="6" t="n"/>
      <c r="F8" s="5" t="inlineStr">
        <is>
          <t>No. of Battery Strings</t>
        </is>
      </c>
      <c r="G8" s="5" t="n"/>
      <c r="H8" s="6" t="n"/>
      <c r="I8" s="6" t="n"/>
      <c r="J8" s="6" t="n"/>
    </row>
    <row r="9" ht="22" customHeight="1">
      <c r="B9" s="5" t="inlineStr">
        <is>
          <t>Bank Capacity (kWh)</t>
        </is>
      </c>
      <c r="C9" s="5" t="n"/>
      <c r="D9" s="6" t="n"/>
      <c r="E9" s="6" t="n"/>
      <c r="F9" s="5" t="inlineStr">
        <is>
          <t>BMS Model</t>
        </is>
      </c>
      <c r="G9" s="5" t="n"/>
      <c r="H9" s="6" t="n"/>
      <c r="I9" s="6" t="n"/>
      <c r="J9" s="6" t="n"/>
    </row>
    <row r="10" ht="22" customHeight="1">
      <c r="B10" s="5" t="inlineStr">
        <is>
          <t>Nominal Voltage (V)</t>
        </is>
      </c>
      <c r="C10" s="5" t="n"/>
      <c r="D10" s="6" t="n"/>
      <c r="E10" s="6" t="n"/>
      <c r="F10" s="5" t="inlineStr">
        <is>
          <t>Date / Tested By</t>
        </is>
      </c>
      <c r="G10" s="5" t="n"/>
      <c r="H10" s="6" t="n"/>
      <c r="I10" s="6" t="n"/>
      <c r="J10" s="6" t="n"/>
    </row>
    <row r="12">
      <c r="B12" s="4" t="inlineStr">
        <is>
          <t>BATTERY MODULE / STRING VOLTAGE &amp; INSULATION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</row>
    <row r="13" ht="34" customHeight="1">
      <c r="B13" s="13" t="inlineStr">
        <is>
          <t>No.</t>
        </is>
      </c>
      <c r="C13" s="13" t="inlineStr">
        <is>
          <t>Module / Rack No.</t>
        </is>
      </c>
      <c r="D13" s="13" t="inlineStr">
        <is>
          <t>String No.</t>
        </is>
      </c>
      <c r="E13" s="13" t="inlineStr">
        <is>
          <t>Nominal Voltage (V)</t>
        </is>
      </c>
      <c r="F13" s="13" t="inlineStr">
        <is>
          <t>Measured Voltage (V)</t>
        </is>
      </c>
      <c r="G13" s="13" t="inlineStr">
        <is>
          <t>Insulation (MΩ)</t>
        </is>
      </c>
      <c r="H13" s="13" t="inlineStr">
        <is>
          <t>Status</t>
        </is>
      </c>
      <c r="I13" s="13" t="inlineStr">
        <is>
          <t>Remarks</t>
        </is>
      </c>
      <c r="J13" s="13" t="n"/>
    </row>
    <row r="14" ht="19" customHeight="1">
      <c r="B14" s="8" t="n">
        <v>1</v>
      </c>
      <c r="C14" s="14" t="n"/>
      <c r="D14" s="14" t="n"/>
      <c r="E14" s="14" t="n"/>
      <c r="F14" s="14" t="n"/>
      <c r="G14" s="14" t="n"/>
      <c r="H14" s="14" t="n"/>
      <c r="I14" s="6" t="n"/>
      <c r="J14" s="6" t="n"/>
    </row>
    <row r="15" ht="19" customHeight="1">
      <c r="B15" s="8" t="n">
        <v>2</v>
      </c>
      <c r="C15" s="14" t="n"/>
      <c r="D15" s="14" t="n"/>
      <c r="E15" s="14" t="n"/>
      <c r="F15" s="14" t="n"/>
      <c r="G15" s="14" t="n"/>
      <c r="H15" s="14" t="n"/>
      <c r="I15" s="6" t="n"/>
      <c r="J15" s="6" t="n"/>
    </row>
    <row r="16" ht="19" customHeight="1">
      <c r="B16" s="8" t="n">
        <v>3</v>
      </c>
      <c r="C16" s="14" t="n"/>
      <c r="D16" s="14" t="n"/>
      <c r="E16" s="14" t="n"/>
      <c r="F16" s="14" t="n"/>
      <c r="G16" s="14" t="n"/>
      <c r="H16" s="14" t="n"/>
      <c r="I16" s="6" t="n"/>
      <c r="J16" s="6" t="n"/>
    </row>
    <row r="17" ht="19" customHeight="1">
      <c r="B17" s="8" t="n">
        <v>4</v>
      </c>
      <c r="C17" s="14" t="n"/>
      <c r="D17" s="14" t="n"/>
      <c r="E17" s="14" t="n"/>
      <c r="F17" s="14" t="n"/>
      <c r="G17" s="14" t="n"/>
      <c r="H17" s="14" t="n"/>
      <c r="I17" s="6" t="n"/>
      <c r="J17" s="6" t="n"/>
    </row>
    <row r="18" ht="19" customHeight="1">
      <c r="B18" s="8" t="n">
        <v>5</v>
      </c>
      <c r="C18" s="14" t="n"/>
      <c r="D18" s="14" t="n"/>
      <c r="E18" s="14" t="n"/>
      <c r="F18" s="14" t="n"/>
      <c r="G18" s="14" t="n"/>
      <c r="H18" s="14" t="n"/>
      <c r="I18" s="6" t="n"/>
      <c r="J18" s="6" t="n"/>
    </row>
    <row r="19" ht="19" customHeight="1">
      <c r="B19" s="8" t="n">
        <v>6</v>
      </c>
      <c r="C19" s="14" t="n"/>
      <c r="D19" s="14" t="n"/>
      <c r="E19" s="14" t="n"/>
      <c r="F19" s="14" t="n"/>
      <c r="G19" s="14" t="n"/>
      <c r="H19" s="14" t="n"/>
      <c r="I19" s="6" t="n"/>
      <c r="J19" s="6" t="n"/>
    </row>
    <row r="20" ht="19" customHeight="1">
      <c r="B20" s="8" t="n">
        <v>7</v>
      </c>
      <c r="C20" s="14" t="n"/>
      <c r="D20" s="14" t="n"/>
      <c r="E20" s="14" t="n"/>
      <c r="F20" s="14" t="n"/>
      <c r="G20" s="14" t="n"/>
      <c r="H20" s="14" t="n"/>
      <c r="I20" s="6" t="n"/>
      <c r="J20" s="6" t="n"/>
    </row>
    <row r="21" ht="19" customHeight="1">
      <c r="B21" s="8" t="n">
        <v>8</v>
      </c>
      <c r="C21" s="14" t="n"/>
      <c r="D21" s="14" t="n"/>
      <c r="E21" s="14" t="n"/>
      <c r="F21" s="14" t="n"/>
      <c r="G21" s="14" t="n"/>
      <c r="H21" s="14" t="n"/>
      <c r="I21" s="6" t="n"/>
      <c r="J21" s="6" t="n"/>
    </row>
    <row r="22" ht="19" customHeight="1">
      <c r="B22" s="8" t="n">
        <v>9</v>
      </c>
      <c r="C22" s="14" t="n"/>
      <c r="D22" s="14" t="n"/>
      <c r="E22" s="14" t="n"/>
      <c r="F22" s="14" t="n"/>
      <c r="G22" s="14" t="n"/>
      <c r="H22" s="14" t="n"/>
      <c r="I22" s="6" t="n"/>
      <c r="J22" s="6" t="n"/>
    </row>
    <row r="23" ht="19" customHeight="1">
      <c r="B23" s="8" t="n">
        <v>10</v>
      </c>
      <c r="C23" s="14" t="n"/>
      <c r="D23" s="14" t="n"/>
      <c r="E23" s="14" t="n"/>
      <c r="F23" s="14" t="n"/>
      <c r="G23" s="14" t="n"/>
      <c r="H23" s="14" t="n"/>
      <c r="I23" s="6" t="n"/>
      <c r="J23" s="6" t="n"/>
    </row>
    <row r="24" ht="19" customHeight="1">
      <c r="B24" s="8" t="n">
        <v>11</v>
      </c>
      <c r="C24" s="14" t="n"/>
      <c r="D24" s="14" t="n"/>
      <c r="E24" s="14" t="n"/>
      <c r="F24" s="14" t="n"/>
      <c r="G24" s="14" t="n"/>
      <c r="H24" s="14" t="n"/>
      <c r="I24" s="6" t="n"/>
      <c r="J24" s="6" t="n"/>
    </row>
    <row r="25" ht="19" customHeight="1">
      <c r="B25" s="8" t="n">
        <v>12</v>
      </c>
      <c r="C25" s="14" t="n"/>
      <c r="D25" s="14" t="n"/>
      <c r="E25" s="14" t="n"/>
      <c r="F25" s="14" t="n"/>
      <c r="G25" s="14" t="n"/>
      <c r="H25" s="14" t="n"/>
      <c r="I25" s="6" t="n"/>
      <c r="J25" s="6" t="n"/>
    </row>
    <row r="26" ht="19" customHeight="1">
      <c r="B26" s="8" t="n">
        <v>13</v>
      </c>
      <c r="C26" s="14" t="n"/>
      <c r="D26" s="14" t="n"/>
      <c r="E26" s="14" t="n"/>
      <c r="F26" s="14" t="n"/>
      <c r="G26" s="14" t="n"/>
      <c r="H26" s="14" t="n"/>
      <c r="I26" s="6" t="n"/>
      <c r="J26" s="6" t="n"/>
    </row>
    <row r="27" ht="19" customHeight="1">
      <c r="B27" s="8" t="n">
        <v>14</v>
      </c>
      <c r="C27" s="14" t="n"/>
      <c r="D27" s="14" t="n"/>
      <c r="E27" s="14" t="n"/>
      <c r="F27" s="14" t="n"/>
      <c r="G27" s="14" t="n"/>
      <c r="H27" s="14" t="n"/>
      <c r="I27" s="6" t="n"/>
      <c r="J27" s="6" t="n"/>
    </row>
    <row r="28" ht="19" customHeight="1">
      <c r="B28" s="8" t="n">
        <v>15</v>
      </c>
      <c r="C28" s="14" t="n"/>
      <c r="D28" s="14" t="n"/>
      <c r="E28" s="14" t="n"/>
      <c r="F28" s="14" t="n"/>
      <c r="G28" s="14" t="n"/>
      <c r="H28" s="14" t="n"/>
      <c r="I28" s="6" t="n"/>
      <c r="J28" s="6" t="n"/>
    </row>
    <row r="29" ht="19" customHeight="1">
      <c r="B29" s="8" t="n">
        <v>16</v>
      </c>
      <c r="C29" s="14" t="n"/>
      <c r="D29" s="14" t="n"/>
      <c r="E29" s="14" t="n"/>
      <c r="F29" s="14" t="n"/>
      <c r="G29" s="14" t="n"/>
      <c r="H29" s="14" t="n"/>
      <c r="I29" s="6" t="n"/>
      <c r="J29" s="6" t="n"/>
    </row>
    <row r="31">
      <c r="B31" s="4" t="inlineStr">
        <is>
          <t>BATTERY PROTECTION &amp; BMS SETTINGS</t>
        </is>
      </c>
      <c r="C31" s="4" t="n"/>
      <c r="D31" s="4" t="n"/>
      <c r="E31" s="4" t="n"/>
      <c r="F31" s="4" t="n"/>
      <c r="G31" s="4" t="n"/>
      <c r="H31" s="4" t="n"/>
      <c r="I31" s="4" t="n"/>
      <c r="J31" s="4" t="n"/>
    </row>
    <row r="32" ht="28" customHeight="1">
      <c r="B32" s="13" t="inlineStr">
        <is>
          <t>No.</t>
        </is>
      </c>
      <c r="C32" s="13" t="inlineStr">
        <is>
          <t>Parameter</t>
        </is>
      </c>
      <c r="D32" s="13" t="inlineStr">
        <is>
          <t>Set / Measured</t>
        </is>
      </c>
      <c r="E32" s="13" t="inlineStr">
        <is>
          <t>Standard / Ref</t>
        </is>
      </c>
      <c r="F32" s="13" t="inlineStr">
        <is>
          <t>Result</t>
        </is>
      </c>
      <c r="G32" s="13" t="inlineStr">
        <is>
          <t>Remarks</t>
        </is>
      </c>
      <c r="H32" s="13" t="n"/>
      <c r="I32" s="13" t="n"/>
      <c r="J32" s="13" t="n"/>
    </row>
    <row r="33" ht="24" customHeight="1">
      <c r="B33" s="8" t="n">
        <v>1</v>
      </c>
      <c r="C33" s="9" t="inlineStr">
        <is>
          <t>Over Voltage Protection (V)</t>
        </is>
      </c>
      <c r="D33" s="6" t="n"/>
      <c r="E33" s="6" t="n"/>
      <c r="F33" s="14" t="n"/>
      <c r="G33" s="6" t="n"/>
      <c r="H33" s="6" t="n"/>
      <c r="I33" s="6" t="n"/>
      <c r="J33" s="6" t="n"/>
    </row>
    <row r="34" ht="24" customHeight="1">
      <c r="B34" s="8" t="n">
        <v>2</v>
      </c>
      <c r="C34" s="9" t="inlineStr">
        <is>
          <t>Under Voltage Protection (V)</t>
        </is>
      </c>
      <c r="D34" s="6" t="n"/>
      <c r="E34" s="6" t="n"/>
      <c r="F34" s="14" t="n"/>
      <c r="G34" s="6" t="n"/>
      <c r="H34" s="6" t="n"/>
      <c r="I34" s="6" t="n"/>
      <c r="J34" s="6" t="n"/>
    </row>
    <row r="35" ht="24" customHeight="1">
      <c r="B35" s="8" t="n">
        <v>3</v>
      </c>
      <c r="C35" s="9" t="inlineStr">
        <is>
          <t>Over Current Protection (A)</t>
        </is>
      </c>
      <c r="D35" s="6" t="n"/>
      <c r="E35" s="6" t="n"/>
      <c r="F35" s="14" t="n"/>
      <c r="G35" s="6" t="n"/>
      <c r="H35" s="6" t="n"/>
      <c r="I35" s="6" t="n"/>
      <c r="J35" s="6" t="n"/>
    </row>
    <row r="36" ht="24" customHeight="1">
      <c r="B36" s="8" t="n">
        <v>4</v>
      </c>
      <c r="C36" s="9" t="inlineStr">
        <is>
          <t>Over Temperature Protection (°C)</t>
        </is>
      </c>
      <c r="D36" s="6" t="n"/>
      <c r="E36" s="6" t="n"/>
      <c r="F36" s="14" t="n"/>
      <c r="G36" s="6" t="n"/>
      <c r="H36" s="6" t="n"/>
      <c r="I36" s="6" t="n"/>
      <c r="J36" s="6" t="n"/>
    </row>
    <row r="37" ht="24" customHeight="1">
      <c r="B37" s="8" t="n">
        <v>5</v>
      </c>
      <c r="C37" s="9" t="inlineStr">
        <is>
          <t>Under Temperature Protection (°C)</t>
        </is>
      </c>
      <c r="D37" s="6" t="n"/>
      <c r="E37" s="6" t="n"/>
      <c r="F37" s="14" t="n"/>
      <c r="G37" s="6" t="n"/>
      <c r="H37" s="6" t="n"/>
      <c r="I37" s="6" t="n"/>
      <c r="J37" s="6" t="n"/>
    </row>
    <row r="38" ht="24" customHeight="1">
      <c r="B38" s="8" t="n">
        <v>6</v>
      </c>
      <c r="C38" s="9" t="inlineStr">
        <is>
          <t>Cell Balancing Function Test</t>
        </is>
      </c>
      <c r="D38" s="6" t="n"/>
      <c r="E38" s="6" t="n"/>
      <c r="F38" s="14" t="n"/>
      <c r="G38" s="6" t="n"/>
      <c r="H38" s="6" t="n"/>
      <c r="I38" s="6" t="n"/>
      <c r="J38" s="6" t="n"/>
    </row>
    <row r="39" ht="24" customHeight="1">
      <c r="B39" s="8" t="n">
        <v>7</v>
      </c>
      <c r="C39" s="9" t="inlineStr">
        <is>
          <t>SOC Display Accuracy</t>
        </is>
      </c>
      <c r="D39" s="6" t="n"/>
      <c r="E39" s="6" t="n"/>
      <c r="F39" s="14" t="n"/>
      <c r="G39" s="6" t="n"/>
      <c r="H39" s="6" t="n"/>
      <c r="I39" s="6" t="n"/>
      <c r="J39" s="6" t="n"/>
    </row>
    <row r="40" ht="24" customHeight="1">
      <c r="B40" s="8" t="n">
        <v>8</v>
      </c>
      <c r="C40" s="9" t="inlineStr">
        <is>
          <t>BMS Communication / Monitoring Test</t>
        </is>
      </c>
      <c r="D40" s="6" t="n"/>
      <c r="E40" s="6" t="n"/>
      <c r="F40" s="14" t="n"/>
      <c r="G40" s="6" t="n"/>
      <c r="H40" s="6" t="n"/>
      <c r="I40" s="6" t="n"/>
      <c r="J40" s="6" t="n"/>
    </row>
    <row r="41" ht="24" customHeight="1">
      <c r="B41" s="8" t="n">
        <v>9</v>
      </c>
      <c r="C41" s="9" t="inlineStr">
        <is>
          <t>Battery Emergency Shutdown Test</t>
        </is>
      </c>
      <c r="D41" s="6" t="n"/>
      <c r="E41" s="6" t="n"/>
      <c r="F41" s="14" t="n"/>
      <c r="G41" s="6" t="n"/>
      <c r="H41" s="6" t="n"/>
      <c r="I41" s="6" t="n"/>
      <c r="J41" s="6" t="n"/>
    </row>
    <row r="43">
      <c r="B43" s="4" t="inlineStr">
        <is>
          <t>CHARGE / DISCHARGE / BACKUP TEST</t>
        </is>
      </c>
      <c r="C43" s="4" t="n"/>
      <c r="D43" s="4" t="n"/>
      <c r="E43" s="4" t="n"/>
      <c r="F43" s="4" t="n"/>
      <c r="G43" s="4" t="n"/>
      <c r="H43" s="4" t="n"/>
      <c r="I43" s="4" t="n"/>
      <c r="J43" s="4" t="n"/>
    </row>
    <row r="44" ht="34" customHeight="1">
      <c r="B44" s="13" t="inlineStr">
        <is>
          <t>Test</t>
        </is>
      </c>
      <c r="C44" s="13" t="n"/>
      <c r="D44" s="13" t="inlineStr">
        <is>
          <t>Start Time</t>
        </is>
      </c>
      <c r="E44" s="13" t="inlineStr">
        <is>
          <t>End Time</t>
        </is>
      </c>
      <c r="F44" s="13" t="inlineStr">
        <is>
          <t>Start / End SOC (%)</t>
        </is>
      </c>
      <c r="G44" s="13" t="inlineStr">
        <is>
          <t>Start / End Voltage (V)</t>
        </is>
      </c>
      <c r="H44" s="13" t="inlineStr">
        <is>
          <t>Current (A)</t>
        </is>
      </c>
      <c r="I44" s="13" t="inlineStr">
        <is>
          <t>Duration (min)</t>
        </is>
      </c>
      <c r="J44" s="13" t="inlineStr">
        <is>
          <t>Remarks</t>
        </is>
      </c>
    </row>
    <row r="45" ht="28" customHeight="1">
      <c r="B45" s="9" t="inlineStr">
        <is>
          <t>Charge Test</t>
        </is>
      </c>
      <c r="C45" s="9" t="n"/>
      <c r="D45" s="14" t="n"/>
      <c r="E45" s="14" t="n"/>
      <c r="F45" s="14" t="n"/>
      <c r="G45" s="14" t="n"/>
      <c r="H45" s="14" t="n"/>
      <c r="I45" s="14" t="n"/>
      <c r="J45" s="6" t="n"/>
    </row>
    <row r="46" ht="28" customHeight="1">
      <c r="B46" s="9" t="inlineStr">
        <is>
          <t>Discharge Test</t>
        </is>
      </c>
      <c r="C46" s="9" t="n"/>
      <c r="D46" s="14" t="n"/>
      <c r="E46" s="14" t="n"/>
      <c r="F46" s="14" t="n"/>
      <c r="G46" s="14" t="n"/>
      <c r="H46" s="14" t="n"/>
      <c r="I46" s="14" t="n"/>
      <c r="J46" s="6" t="n"/>
    </row>
    <row r="47" ht="28" customHeight="1">
      <c r="B47" s="9" t="inlineStr">
        <is>
          <t>Backup / Off-Grid Test (grid failure simulation)</t>
        </is>
      </c>
      <c r="C47" s="9" t="n"/>
      <c r="D47" s="14" t="n"/>
      <c r="E47" s="14" t="n"/>
      <c r="F47" s="14" t="n"/>
      <c r="G47" s="14" t="n"/>
      <c r="H47" s="14" t="n"/>
      <c r="I47" s="14" t="n"/>
      <c r="J47" s="6" t="n"/>
    </row>
    <row r="49" ht="28" customHeight="1">
      <c r="B49" s="5" t="inlineStr">
        <is>
          <t>Officer Name</t>
        </is>
      </c>
      <c r="C49" s="5" t="n"/>
      <c r="D49" s="6" t="n"/>
      <c r="E49" s="6" t="n"/>
      <c r="F49" s="5" t="inlineStr">
        <is>
          <t>Signature</t>
        </is>
      </c>
      <c r="G49" s="5" t="n"/>
      <c r="H49" s="6" t="n"/>
      <c r="I49" s="6" t="n"/>
      <c r="J49" s="6" t="n"/>
    </row>
  </sheetData>
  <mergeCells count="57">
    <mergeCell ref="H49:J49"/>
    <mergeCell ref="B47:C47"/>
    <mergeCell ref="D10:E10"/>
    <mergeCell ref="B7:C7"/>
    <mergeCell ref="F10:G10"/>
    <mergeCell ref="I15:J15"/>
    <mergeCell ref="G35:J35"/>
    <mergeCell ref="B46:C46"/>
    <mergeCell ref="I27:J27"/>
    <mergeCell ref="G41:J41"/>
    <mergeCell ref="I26:J26"/>
    <mergeCell ref="H7:J7"/>
    <mergeCell ref="F7:G7"/>
    <mergeCell ref="G32:J32"/>
    <mergeCell ref="G40:J40"/>
    <mergeCell ref="I16:J16"/>
    <mergeCell ref="D49:E49"/>
    <mergeCell ref="I25:J25"/>
    <mergeCell ref="I22:J22"/>
    <mergeCell ref="I28:J28"/>
    <mergeCell ref="B8:C8"/>
    <mergeCell ref="B6:J6"/>
    <mergeCell ref="I18:J18"/>
    <mergeCell ref="G36:J36"/>
    <mergeCell ref="F8:G8"/>
    <mergeCell ref="I21:J21"/>
    <mergeCell ref="B2:J3"/>
    <mergeCell ref="B44:C44"/>
    <mergeCell ref="D7:E7"/>
    <mergeCell ref="G39:J39"/>
    <mergeCell ref="I24:J24"/>
    <mergeCell ref="B10:C10"/>
    <mergeCell ref="H8:J8"/>
    <mergeCell ref="G38:J38"/>
    <mergeCell ref="I23:J23"/>
    <mergeCell ref="B4:J4"/>
    <mergeCell ref="I14:J14"/>
    <mergeCell ref="B9:C9"/>
    <mergeCell ref="D9:E9"/>
    <mergeCell ref="I17:J17"/>
    <mergeCell ref="G37:J37"/>
    <mergeCell ref="F9:G9"/>
    <mergeCell ref="B49:C49"/>
    <mergeCell ref="D8:E8"/>
    <mergeCell ref="I29:J29"/>
    <mergeCell ref="H10:J10"/>
    <mergeCell ref="I20:J20"/>
    <mergeCell ref="G34:J34"/>
    <mergeCell ref="I19:J19"/>
    <mergeCell ref="B31:J31"/>
    <mergeCell ref="B45:C45"/>
    <mergeCell ref="F49:G49"/>
    <mergeCell ref="H9:J9"/>
    <mergeCell ref="I13:J13"/>
    <mergeCell ref="G33:J33"/>
    <mergeCell ref="B43:J43"/>
    <mergeCell ref="B12:J12"/>
  </mergeCells>
  <conditionalFormatting sqref="H14:H2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"Incomplete"</formula>
    </cfRule>
    <cfRule type="cellIs" priority="4" operator="equal" dxfId="2">
      <formula>"IN PROGRESS"</formula>
    </cfRule>
    <cfRule type="cellIs" priority="5" operator="equal" dxfId="2">
      <formula>"INCOMPLETE"</formula>
    </cfRule>
    <cfRule type="cellIs" priority="6" operator="equal" dxfId="3">
      <formula>"N/A"</formula>
    </cfRule>
  </conditionalFormatting>
  <conditionalFormatting sqref="F33:F41">
    <cfRule type="cellIs" priority="7" operator="equal" dxfId="0">
      <formula>"Pass"</formula>
    </cfRule>
    <cfRule type="cellIs" priority="8" operator="equal" dxfId="1">
      <formula>"Fail"</formula>
    </cfRule>
    <cfRule type="cellIs" priority="9" operator="equal" dxfId="2">
      <formula>"Incomplete"</formula>
    </cfRule>
    <cfRule type="cellIs" priority="10" operator="equal" dxfId="2">
      <formula>"IN PROGRESS"</formula>
    </cfRule>
    <cfRule type="cellIs" priority="11" operator="equal" dxfId="2">
      <formula>"INCOMPLETE"</formula>
    </cfRule>
    <cfRule type="cellIs" priority="12" operator="equal" dxfId="3">
      <formula>"N/A"</formula>
    </cfRule>
  </conditionalFormatting>
  <dataValidations count="3">
    <dataValidation sqref="D8" showDropDown="0" showInputMessage="0" showErrorMessage="0" allowBlank="1" type="list">
      <formula1>"Lithium-ion,Lead-Acid,Other"</formula1>
    </dataValidation>
    <dataValidation sqref="H14:H29" showDropDown="0" showInputMessage="0" showErrorMessage="0" allowBlank="1" type="list">
      <formula1>"Pass,Fail,N/A"</formula1>
    </dataValidation>
    <dataValidation sqref="F33:F41" showDropDown="0" showInputMessage="0" showErrorMessage="0" allowBlank="1" type="list">
      <formula1>"Pass,Fail,N/A"</formula1>
    </dataValidation>
  </dataValidations>
  <printOptions horizontalCentered="1"/>
  <pageMargins left="0.4" right="0.4" top="0.6" bottom="0.7" header="0.25" footer="0.3"/>
  <pageSetup orientation="landscape" paperSize="9" fitToHeight="0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5B2C6F"/>
    <outlinePr summaryBelow="1" summaryRight="1"/>
    <pageSetUpPr fitToPage="1"/>
  </sheetPr>
  <dimension ref="B2:G2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6" customWidth="1" min="2" max="2"/>
    <col width="44" customWidth="1" min="3" max="3"/>
    <col width="22" customWidth="1" min="4" max="4"/>
    <col width="24" customWidth="1" min="5" max="5"/>
    <col width="12" customWidth="1" min="6" max="6"/>
    <col width="32" customWidth="1" min="7" max="7"/>
  </cols>
  <sheetData>
    <row r="2">
      <c r="B2" s="10" t="inlineStr">
        <is>
          <t>PROTECTION &amp; GRID SETTINGS VERIFICATION</t>
        </is>
      </c>
      <c r="C2" s="2" t="n"/>
      <c r="D2" s="2" t="n"/>
      <c r="E2" s="2" t="n"/>
      <c r="F2" s="2" t="n"/>
      <c r="G2" s="2" t="n"/>
    </row>
    <row r="3">
      <c r="B3" s="2" t="n"/>
      <c r="C3" s="2" t="n"/>
      <c r="D3" s="2" t="n"/>
      <c r="E3" s="2" t="n"/>
      <c r="F3" s="2" t="n"/>
      <c r="G3" s="2" t="n"/>
    </row>
    <row r="4" ht="16" customHeight="1">
      <c r="B4" s="3">
        <f>"Project: "&amp;IF(Cover!$C$7="","(enter on Cover sheet)",Cover!$C$7)&amp;"     |     Regen Renewables (Pvt) Ltd."</f>
        <v/>
      </c>
    </row>
    <row r="5" ht="6" customHeight="1"/>
    <row r="6" ht="28" customHeight="1">
      <c r="B6" s="13" t="inlineStr">
        <is>
          <t>No.</t>
        </is>
      </c>
      <c r="C6" s="13" t="inlineStr">
        <is>
          <t>Parameter</t>
        </is>
      </c>
      <c r="D6" s="13" t="inlineStr">
        <is>
          <t>Set / Measured Value</t>
        </is>
      </c>
      <c r="E6" s="13" t="inlineStr">
        <is>
          <t>Standard / Reference</t>
        </is>
      </c>
      <c r="F6" s="13" t="inlineStr">
        <is>
          <t>Result</t>
        </is>
      </c>
      <c r="G6" s="13" t="inlineStr">
        <is>
          <t>Remarks</t>
        </is>
      </c>
    </row>
    <row r="7" ht="24" customHeight="1">
      <c r="B7" s="8" t="n">
        <v>1</v>
      </c>
      <c r="C7" s="9" t="inlineStr">
        <is>
          <t>Over Voltage Protection Trip (V)</t>
        </is>
      </c>
      <c r="D7" s="6" t="n"/>
      <c r="E7" s="6" t="n"/>
      <c r="F7" s="14" t="n"/>
      <c r="G7" s="6" t="n"/>
    </row>
    <row r="8" ht="24" customHeight="1">
      <c r="B8" s="8" t="n">
        <v>2</v>
      </c>
      <c r="C8" s="9" t="inlineStr">
        <is>
          <t>Under Voltage Protection Trip (V)</t>
        </is>
      </c>
      <c r="D8" s="6" t="n"/>
      <c r="E8" s="6" t="n"/>
      <c r="F8" s="14" t="n"/>
      <c r="G8" s="6" t="n"/>
    </row>
    <row r="9" ht="24" customHeight="1">
      <c r="B9" s="8" t="n">
        <v>3</v>
      </c>
      <c r="C9" s="9" t="inlineStr">
        <is>
          <t>Over Frequency Protection Trip (Hz)</t>
        </is>
      </c>
      <c r="D9" s="6" t="n"/>
      <c r="E9" s="6" t="n"/>
      <c r="F9" s="14" t="n"/>
      <c r="G9" s="6" t="n"/>
    </row>
    <row r="10" ht="24" customHeight="1">
      <c r="B10" s="8" t="n">
        <v>4</v>
      </c>
      <c r="C10" s="9" t="inlineStr">
        <is>
          <t>Under Frequency Protection Trip (Hz)</t>
        </is>
      </c>
      <c r="D10" s="6" t="n"/>
      <c r="E10" s="6" t="n"/>
      <c r="F10" s="14" t="n"/>
      <c r="G10" s="6" t="n"/>
    </row>
    <row r="11" ht="24" customHeight="1">
      <c r="B11" s="8" t="n">
        <v>5</v>
      </c>
      <c r="C11" s="9" t="inlineStr">
        <is>
          <t>Anti-Islanding Protection Test</t>
        </is>
      </c>
      <c r="D11" s="6" t="n"/>
      <c r="E11" s="6" t="n"/>
      <c r="F11" s="14" t="n"/>
      <c r="G11" s="6" t="n"/>
    </row>
    <row r="12" ht="24" customHeight="1">
      <c r="B12" s="8" t="n">
        <v>6</v>
      </c>
      <c r="C12" s="9" t="inlineStr">
        <is>
          <t>Reconnection Time Delay (s)</t>
        </is>
      </c>
      <c r="D12" s="6" t="n"/>
      <c r="E12" s="6" t="n"/>
      <c r="F12" s="14" t="n"/>
      <c r="G12" s="6" t="n"/>
    </row>
    <row r="13" ht="24" customHeight="1">
      <c r="B13" s="8" t="n">
        <v>7</v>
      </c>
      <c r="C13" s="9" t="inlineStr">
        <is>
          <t>Export Power Limit Setting (kW / %)</t>
        </is>
      </c>
      <c r="D13" s="6" t="n"/>
      <c r="E13" s="6" t="n"/>
      <c r="F13" s="14" t="n"/>
      <c r="G13" s="6" t="n"/>
    </row>
    <row r="14" ht="24" customHeight="1">
      <c r="B14" s="8" t="n">
        <v>8</v>
      </c>
      <c r="C14" s="9" t="inlineStr">
        <is>
          <t>RCD / ELCB Rated Trip Current (mA)</t>
        </is>
      </c>
      <c r="D14" s="6" t="n"/>
      <c r="E14" s="6" t="n"/>
      <c r="F14" s="14" t="n"/>
      <c r="G14" s="6" t="n"/>
    </row>
    <row r="15" ht="24" customHeight="1">
      <c r="B15" s="8" t="n">
        <v>9</v>
      </c>
      <c r="C15" s="9" t="inlineStr">
        <is>
          <t>RCD / ELCB Trip Test Result</t>
        </is>
      </c>
      <c r="D15" s="6" t="n"/>
      <c r="E15" s="6" t="n"/>
      <c r="F15" s="14" t="n"/>
      <c r="G15" s="6" t="n"/>
    </row>
    <row r="16" ht="24" customHeight="1">
      <c r="B16" s="8" t="n">
        <v>10</v>
      </c>
      <c r="C16" s="9" t="inlineStr">
        <is>
          <t>Earth Fault Protection Test</t>
        </is>
      </c>
      <c r="D16" s="6" t="n"/>
      <c r="E16" s="6" t="n"/>
      <c r="F16" s="14" t="n"/>
      <c r="G16" s="6" t="n"/>
    </row>
    <row r="17" ht="24" customHeight="1">
      <c r="B17" s="8" t="n">
        <v>11</v>
      </c>
      <c r="C17" s="9" t="inlineStr">
        <is>
          <t>Remote Shutdown / Emergency Stop Test</t>
        </is>
      </c>
      <c r="D17" s="6" t="n"/>
      <c r="E17" s="6" t="n"/>
      <c r="F17" s="14" t="n"/>
      <c r="G17" s="6" t="n"/>
    </row>
    <row r="18" ht="24" customHeight="1">
      <c r="B18" s="8" t="n">
        <v>12</v>
      </c>
      <c r="C18" s="9" t="inlineStr">
        <is>
          <t>Communication Module (WiFi / 4G / RS485) Test</t>
        </is>
      </c>
      <c r="D18" s="6" t="n"/>
      <c r="E18" s="6" t="n"/>
      <c r="F18" s="14" t="n"/>
      <c r="G18" s="6" t="n"/>
    </row>
    <row r="19" ht="24" customHeight="1">
      <c r="B19" s="8" t="n">
        <v>13</v>
      </c>
      <c r="C19" s="9" t="inlineStr">
        <is>
          <t>Monitoring Portal Registration</t>
        </is>
      </c>
      <c r="D19" s="6" t="n"/>
      <c r="E19" s="6" t="n"/>
      <c r="F19" s="14" t="n"/>
      <c r="G19" s="6" t="n"/>
    </row>
    <row r="20" ht="24" customHeight="1">
      <c r="B20" s="8" t="n">
        <v>14</v>
      </c>
      <c r="C20" s="9" t="inlineStr">
        <is>
          <t>Inverter Firmware Version(s)</t>
        </is>
      </c>
      <c r="D20" s="6" t="n"/>
      <c r="E20" s="6" t="n"/>
      <c r="F20" s="14" t="n"/>
      <c r="G20" s="6" t="n"/>
    </row>
    <row r="22">
      <c r="B22" s="5" t="inlineStr">
        <is>
          <t>Verified By</t>
        </is>
      </c>
      <c r="C22" s="5" t="n"/>
      <c r="D22" s="6" t="n"/>
      <c r="E22" s="5" t="inlineStr">
        <is>
          <t>Date</t>
        </is>
      </c>
      <c r="F22" s="17" t="n"/>
      <c r="G22" s="14" t="n"/>
    </row>
  </sheetData>
  <mergeCells count="4">
    <mergeCell ref="B4:G4"/>
    <mergeCell ref="B22:C22"/>
    <mergeCell ref="B2:G3"/>
    <mergeCell ref="F22:G22"/>
  </mergeCells>
  <conditionalFormatting sqref="F7:F2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"Incomplete"</formula>
    </cfRule>
    <cfRule type="cellIs" priority="4" operator="equal" dxfId="2">
      <formula>"IN PROGRESS"</formula>
    </cfRule>
    <cfRule type="cellIs" priority="5" operator="equal" dxfId="2">
      <formula>"INCOMPLETE"</formula>
    </cfRule>
    <cfRule type="cellIs" priority="6" operator="equal" dxfId="3">
      <formula>"N/A"</formula>
    </cfRule>
  </conditionalFormatting>
  <dataValidations count="1">
    <dataValidation sqref="F7:F20" showDropDown="0" showInputMessage="0" showErrorMessage="0" allowBlank="1" type="list">
      <formula1>"Pass,Fail,N/A"</formula1>
    </dataValidation>
  </dataValidations>
  <printOptions horizontalCentered="1"/>
  <pageMargins left="0.4" right="0.4" top="0.6" bottom="0.7" header="0.25" footer="0.3"/>
  <pageSetup orientation="portrait" paperSize="9" fitToHeight="0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5B2C6F"/>
    <outlinePr summaryBelow="1" summaryRight="1"/>
    <pageSetUpPr fitToPage="1"/>
  </sheetPr>
  <dimension ref="B2:L24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5" customWidth="1" min="2" max="2"/>
    <col width="12" customWidth="1" min="3" max="3"/>
    <col width="18" customWidth="1" min="4" max="4"/>
    <col width="34" customWidth="1" min="5" max="5"/>
    <col width="14" customWidth="1" min="6" max="6"/>
    <col width="14" customWidth="1" min="7" max="7"/>
    <col width="30" customWidth="1" min="8" max="8"/>
    <col width="16" customWidth="1" min="9" max="9"/>
    <col width="12" customWidth="1" min="10" max="10"/>
    <col width="12" customWidth="1" min="11" max="11"/>
    <col width="12" customWidth="1" min="12" max="12"/>
  </cols>
  <sheetData>
    <row r="2">
      <c r="B2" s="10" t="inlineStr">
        <is>
          <t>PUNCH LIST / SNAG LIST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 ht="16" customHeight="1">
      <c r="B4" s="3">
        <f>"Project: "&amp;IF(Cover!$C$7="","(enter on Cover sheet)",Cover!$C$7)&amp;"     |     Regen Renewables (Pvt) Ltd."</f>
        <v/>
      </c>
    </row>
    <row r="5" ht="6" customHeight="1"/>
    <row r="6" ht="32" customHeight="1">
      <c r="B6" s="13" t="inlineStr">
        <is>
          <t>No.</t>
        </is>
      </c>
      <c r="C6" s="13" t="inlineStr">
        <is>
          <t>Date Raised</t>
        </is>
      </c>
      <c r="D6" s="13" t="inlineStr">
        <is>
          <t>Location / Inverter</t>
        </is>
      </c>
      <c r="E6" s="13" t="inlineStr">
        <is>
          <t>Issue Description</t>
        </is>
      </c>
      <c r="F6" s="13" t="inlineStr">
        <is>
          <t>Category</t>
        </is>
      </c>
      <c r="G6" s="13" t="inlineStr">
        <is>
          <t>Raised By</t>
        </is>
      </c>
      <c r="H6" s="13" t="inlineStr">
        <is>
          <t>Corrective Action</t>
        </is>
      </c>
      <c r="I6" s="13" t="inlineStr">
        <is>
          <t>Responsible</t>
        </is>
      </c>
      <c r="J6" s="13" t="inlineStr">
        <is>
          <t>Target Date</t>
        </is>
      </c>
      <c r="K6" s="13" t="inlineStr">
        <is>
          <t>Status</t>
        </is>
      </c>
      <c r="L6" s="13" t="inlineStr">
        <is>
          <t>Closed Date</t>
        </is>
      </c>
    </row>
    <row r="7" ht="24" customHeight="1">
      <c r="B7" s="8" t="n">
        <v>1</v>
      </c>
      <c r="C7" s="29" t="n"/>
      <c r="D7" s="6" t="n"/>
      <c r="E7" s="6" t="n"/>
      <c r="F7" s="14" t="n"/>
      <c r="G7" s="6" t="n"/>
      <c r="H7" s="6" t="n"/>
      <c r="I7" s="6" t="n"/>
      <c r="J7" s="29" t="n"/>
      <c r="K7" s="14" t="n"/>
      <c r="L7" s="29" t="n"/>
    </row>
    <row r="8" ht="24" customHeight="1">
      <c r="B8" s="8" t="n">
        <v>2</v>
      </c>
      <c r="C8" s="29" t="n"/>
      <c r="D8" s="6" t="n"/>
      <c r="E8" s="6" t="n"/>
      <c r="F8" s="14" t="n"/>
      <c r="G8" s="6" t="n"/>
      <c r="H8" s="6" t="n"/>
      <c r="I8" s="6" t="n"/>
      <c r="J8" s="29" t="n"/>
      <c r="K8" s="14" t="n"/>
      <c r="L8" s="29" t="n"/>
    </row>
    <row r="9" ht="24" customHeight="1">
      <c r="B9" s="8" t="n">
        <v>3</v>
      </c>
      <c r="C9" s="29" t="n"/>
      <c r="D9" s="6" t="n"/>
      <c r="E9" s="6" t="n"/>
      <c r="F9" s="14" t="n"/>
      <c r="G9" s="6" t="n"/>
      <c r="H9" s="6" t="n"/>
      <c r="I9" s="6" t="n"/>
      <c r="J9" s="29" t="n"/>
      <c r="K9" s="14" t="n"/>
      <c r="L9" s="29" t="n"/>
    </row>
    <row r="10" ht="24" customHeight="1">
      <c r="B10" s="8" t="n">
        <v>4</v>
      </c>
      <c r="C10" s="29" t="n"/>
      <c r="D10" s="6" t="n"/>
      <c r="E10" s="6" t="n"/>
      <c r="F10" s="14" t="n"/>
      <c r="G10" s="6" t="n"/>
      <c r="H10" s="6" t="n"/>
      <c r="I10" s="6" t="n"/>
      <c r="J10" s="29" t="n"/>
      <c r="K10" s="14" t="n"/>
      <c r="L10" s="29" t="n"/>
    </row>
    <row r="11" ht="24" customHeight="1">
      <c r="B11" s="8" t="n">
        <v>5</v>
      </c>
      <c r="C11" s="29" t="n"/>
      <c r="D11" s="6" t="n"/>
      <c r="E11" s="6" t="n"/>
      <c r="F11" s="14" t="n"/>
      <c r="G11" s="6" t="n"/>
      <c r="H11" s="6" t="n"/>
      <c r="I11" s="6" t="n"/>
      <c r="J11" s="29" t="n"/>
      <c r="K11" s="14" t="n"/>
      <c r="L11" s="29" t="n"/>
    </row>
    <row r="12" ht="24" customHeight="1">
      <c r="B12" s="8" t="n">
        <v>6</v>
      </c>
      <c r="C12" s="29" t="n"/>
      <c r="D12" s="6" t="n"/>
      <c r="E12" s="6" t="n"/>
      <c r="F12" s="14" t="n"/>
      <c r="G12" s="6" t="n"/>
      <c r="H12" s="6" t="n"/>
      <c r="I12" s="6" t="n"/>
      <c r="J12" s="29" t="n"/>
      <c r="K12" s="14" t="n"/>
      <c r="L12" s="29" t="n"/>
    </row>
    <row r="13" ht="24" customHeight="1">
      <c r="B13" s="8" t="n">
        <v>7</v>
      </c>
      <c r="C13" s="29" t="n"/>
      <c r="D13" s="6" t="n"/>
      <c r="E13" s="6" t="n"/>
      <c r="F13" s="14" t="n"/>
      <c r="G13" s="6" t="n"/>
      <c r="H13" s="6" t="n"/>
      <c r="I13" s="6" t="n"/>
      <c r="J13" s="29" t="n"/>
      <c r="K13" s="14" t="n"/>
      <c r="L13" s="29" t="n"/>
    </row>
    <row r="14" ht="24" customHeight="1">
      <c r="B14" s="8" t="n">
        <v>8</v>
      </c>
      <c r="C14" s="29" t="n"/>
      <c r="D14" s="6" t="n"/>
      <c r="E14" s="6" t="n"/>
      <c r="F14" s="14" t="n"/>
      <c r="G14" s="6" t="n"/>
      <c r="H14" s="6" t="n"/>
      <c r="I14" s="6" t="n"/>
      <c r="J14" s="29" t="n"/>
      <c r="K14" s="14" t="n"/>
      <c r="L14" s="29" t="n"/>
    </row>
    <row r="15" ht="24" customHeight="1">
      <c r="B15" s="8" t="n">
        <v>9</v>
      </c>
      <c r="C15" s="29" t="n"/>
      <c r="D15" s="6" t="n"/>
      <c r="E15" s="6" t="n"/>
      <c r="F15" s="14" t="n"/>
      <c r="G15" s="6" t="n"/>
      <c r="H15" s="6" t="n"/>
      <c r="I15" s="6" t="n"/>
      <c r="J15" s="29" t="n"/>
      <c r="K15" s="14" t="n"/>
      <c r="L15" s="29" t="n"/>
    </row>
    <row r="16" ht="24" customHeight="1">
      <c r="B16" s="8" t="n">
        <v>10</v>
      </c>
      <c r="C16" s="29" t="n"/>
      <c r="D16" s="6" t="n"/>
      <c r="E16" s="6" t="n"/>
      <c r="F16" s="14" t="n"/>
      <c r="G16" s="6" t="n"/>
      <c r="H16" s="6" t="n"/>
      <c r="I16" s="6" t="n"/>
      <c r="J16" s="29" t="n"/>
      <c r="K16" s="14" t="n"/>
      <c r="L16" s="29" t="n"/>
    </row>
    <row r="17" ht="24" customHeight="1">
      <c r="B17" s="8" t="n">
        <v>11</v>
      </c>
      <c r="C17" s="29" t="n"/>
      <c r="D17" s="6" t="n"/>
      <c r="E17" s="6" t="n"/>
      <c r="F17" s="14" t="n"/>
      <c r="G17" s="6" t="n"/>
      <c r="H17" s="6" t="n"/>
      <c r="I17" s="6" t="n"/>
      <c r="J17" s="29" t="n"/>
      <c r="K17" s="14" t="n"/>
      <c r="L17" s="29" t="n"/>
    </row>
    <row r="18" ht="24" customHeight="1">
      <c r="B18" s="8" t="n">
        <v>12</v>
      </c>
      <c r="C18" s="29" t="n"/>
      <c r="D18" s="6" t="n"/>
      <c r="E18" s="6" t="n"/>
      <c r="F18" s="14" t="n"/>
      <c r="G18" s="6" t="n"/>
      <c r="H18" s="6" t="n"/>
      <c r="I18" s="6" t="n"/>
      <c r="J18" s="29" t="n"/>
      <c r="K18" s="14" t="n"/>
      <c r="L18" s="29" t="n"/>
    </row>
    <row r="19" ht="24" customHeight="1">
      <c r="B19" s="8" t="n">
        <v>13</v>
      </c>
      <c r="C19" s="29" t="n"/>
      <c r="D19" s="6" t="n"/>
      <c r="E19" s="6" t="n"/>
      <c r="F19" s="14" t="n"/>
      <c r="G19" s="6" t="n"/>
      <c r="H19" s="6" t="n"/>
      <c r="I19" s="6" t="n"/>
      <c r="J19" s="29" t="n"/>
      <c r="K19" s="14" t="n"/>
      <c r="L19" s="29" t="n"/>
    </row>
    <row r="20" ht="24" customHeight="1">
      <c r="B20" s="8" t="n">
        <v>14</v>
      </c>
      <c r="C20" s="29" t="n"/>
      <c r="D20" s="6" t="n"/>
      <c r="E20" s="6" t="n"/>
      <c r="F20" s="14" t="n"/>
      <c r="G20" s="6" t="n"/>
      <c r="H20" s="6" t="n"/>
      <c r="I20" s="6" t="n"/>
      <c r="J20" s="29" t="n"/>
      <c r="K20" s="14" t="n"/>
      <c r="L20" s="29" t="n"/>
    </row>
    <row r="21" ht="24" customHeight="1">
      <c r="B21" s="8" t="n">
        <v>15</v>
      </c>
      <c r="C21" s="29" t="n"/>
      <c r="D21" s="6" t="n"/>
      <c r="E21" s="6" t="n"/>
      <c r="F21" s="14" t="n"/>
      <c r="G21" s="6" t="n"/>
      <c r="H21" s="6" t="n"/>
      <c r="I21" s="6" t="n"/>
      <c r="J21" s="29" t="n"/>
      <c r="K21" s="14" t="n"/>
      <c r="L21" s="29" t="n"/>
    </row>
    <row r="22" ht="24" customHeight="1">
      <c r="B22" s="8" t="n">
        <v>16</v>
      </c>
      <c r="C22" s="29" t="n"/>
      <c r="D22" s="6" t="n"/>
      <c r="E22" s="6" t="n"/>
      <c r="F22" s="14" t="n"/>
      <c r="G22" s="6" t="n"/>
      <c r="H22" s="6" t="n"/>
      <c r="I22" s="6" t="n"/>
      <c r="J22" s="29" t="n"/>
      <c r="K22" s="14" t="n"/>
      <c r="L22" s="29" t="n"/>
    </row>
    <row r="23" ht="24" customHeight="1">
      <c r="B23" s="8" t="n">
        <v>17</v>
      </c>
      <c r="C23" s="29" t="n"/>
      <c r="D23" s="6" t="n"/>
      <c r="E23" s="6" t="n"/>
      <c r="F23" s="14" t="n"/>
      <c r="G23" s="6" t="n"/>
      <c r="H23" s="6" t="n"/>
      <c r="I23" s="6" t="n"/>
      <c r="J23" s="29" t="n"/>
      <c r="K23" s="14" t="n"/>
      <c r="L23" s="29" t="n"/>
    </row>
    <row r="24" ht="24" customHeight="1">
      <c r="B24" s="8" t="n">
        <v>18</v>
      </c>
      <c r="C24" s="29" t="n"/>
      <c r="D24" s="6" t="n"/>
      <c r="E24" s="6" t="n"/>
      <c r="F24" s="14" t="n"/>
      <c r="G24" s="6" t="n"/>
      <c r="H24" s="6" t="n"/>
      <c r="I24" s="6" t="n"/>
      <c r="J24" s="29" t="n"/>
      <c r="K24" s="14" t="n"/>
      <c r="L24" s="29" t="n"/>
    </row>
  </sheetData>
  <mergeCells count="2">
    <mergeCell ref="B4:L4"/>
    <mergeCell ref="B2:L3"/>
  </mergeCells>
  <dataValidations count="2">
    <dataValidation sqref="F7:F24" showDropDown="0" showInputMessage="0" showErrorMessage="0" allowBlank="1" type="list">
      <formula1>"Electrical,Mechanical,Civil,Documentation,Other"</formula1>
    </dataValidation>
    <dataValidation sqref="K7:K24" showDropDown="0" showInputMessage="0" showErrorMessage="0" allowBlank="1" type="list">
      <formula1>"Open,In Progress,Closed"</formula1>
    </dataValidation>
  </dataValidations>
  <printOptions horizontalCentered="1"/>
  <pageMargins left="0.4" right="0.4" top="0.6" bottom="0.7" header="0.25" footer="0.3"/>
  <pageSetup orientation="landscape" paperSize="9" fitToHeight="0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375623"/>
    <outlinePr summaryBelow="1" summaryRight="1"/>
    <pageSetUpPr fitToPage="1"/>
  </sheetPr>
  <dimension ref="B2:F32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30" customWidth="1" min="2" max="2"/>
    <col width="24" customWidth="1" min="3" max="3"/>
    <col width="24" customWidth="1" min="4" max="4"/>
    <col width="24" customWidth="1" min="5" max="5"/>
    <col width="20" customWidth="1" min="6" max="6"/>
  </cols>
  <sheetData>
    <row r="2">
      <c r="B2" s="10" t="inlineStr">
        <is>
          <t>FINAL COMMISSIONING SIGN-OFF</t>
        </is>
      </c>
      <c r="C2" s="2" t="n"/>
      <c r="D2" s="2" t="n"/>
      <c r="E2" s="2" t="n"/>
      <c r="F2" s="2" t="n"/>
    </row>
    <row r="3">
      <c r="B3" s="2" t="n"/>
      <c r="C3" s="2" t="n"/>
      <c r="D3" s="2" t="n"/>
      <c r="E3" s="2" t="n"/>
      <c r="F3" s="2" t="n"/>
    </row>
    <row r="4" ht="16" customHeight="1">
      <c r="B4" s="3">
        <f>"Project: "&amp;IF(Cover!$C$7="","(enter on Cover sheet)",Cover!$C$7)&amp;"     |     Regen Renewables (Pvt) Ltd."</f>
        <v/>
      </c>
    </row>
    <row r="5" ht="6" customHeight="1"/>
    <row r="6" ht="26" customHeight="1">
      <c r="B6" s="5" t="inlineStr">
        <is>
          <t>Overall Commissioning Result</t>
        </is>
      </c>
      <c r="C6" s="15">
        <f>'Summary'!$H$21</f>
        <v/>
      </c>
      <c r="D6" s="15" t="n"/>
    </row>
    <row r="7" ht="26" customHeight="1">
      <c r="B7" s="5" t="inlineStr">
        <is>
          <t>Commissioned Date</t>
        </is>
      </c>
      <c r="C7" s="20" t="n"/>
      <c r="D7" s="6" t="n"/>
    </row>
    <row r="8" ht="26" customHeight="1">
      <c r="B8" s="5" t="inlineStr">
        <is>
          <t>Commissioned Officer Name</t>
        </is>
      </c>
      <c r="C8" s="6" t="n"/>
      <c r="D8" s="6" t="n"/>
      <c r="E8" s="5" t="inlineStr">
        <is>
          <t>Signature</t>
        </is>
      </c>
      <c r="F8" s="14" t="n"/>
    </row>
    <row r="10">
      <c r="B10" s="4" t="inlineStr">
        <is>
          <t>SIGN-OFF</t>
        </is>
      </c>
      <c r="C10" s="4" t="n"/>
      <c r="D10" s="4" t="n"/>
      <c r="E10" s="4" t="n"/>
      <c r="F10" s="4" t="n"/>
    </row>
    <row r="11" ht="26" customHeight="1">
      <c r="B11" s="13" t="inlineStr">
        <is>
          <t>Role</t>
        </is>
      </c>
      <c r="C11" s="13" t="inlineStr">
        <is>
          <t>Name</t>
        </is>
      </c>
      <c r="D11" s="13" t="inlineStr">
        <is>
          <t>Company</t>
        </is>
      </c>
      <c r="E11" s="13" t="inlineStr">
        <is>
          <t>Signature</t>
        </is>
      </c>
      <c r="F11" s="13" t="inlineStr">
        <is>
          <t>Date</t>
        </is>
      </c>
    </row>
    <row r="12" ht="32" customHeight="1">
      <c r="B12" s="9" t="inlineStr">
        <is>
          <t>Commissioning Engineer</t>
        </is>
      </c>
      <c r="C12" s="6" t="n"/>
      <c r="D12" s="6" t="n"/>
      <c r="E12" s="14" t="n"/>
      <c r="F12" s="14" t="n"/>
    </row>
    <row r="13" ht="32" customHeight="1">
      <c r="B13" s="9" t="inlineStr">
        <is>
          <t>QA / QC Engineer</t>
        </is>
      </c>
      <c r="C13" s="6" t="n"/>
      <c r="D13" s="6" t="n"/>
      <c r="E13" s="14" t="n"/>
      <c r="F13" s="14" t="n"/>
    </row>
    <row r="14" ht="32" customHeight="1">
      <c r="B14" s="9" t="inlineStr">
        <is>
          <t>Client Representative / Consultant</t>
        </is>
      </c>
      <c r="C14" s="6" t="n"/>
      <c r="D14" s="6" t="n"/>
      <c r="E14" s="14" t="n"/>
      <c r="F14" s="14" t="n"/>
    </row>
    <row r="15" ht="32" customHeight="1">
      <c r="B15" s="9" t="inlineStr">
        <is>
          <t>Site Safety Officer</t>
        </is>
      </c>
      <c r="C15" s="6" t="n"/>
      <c r="D15" s="6" t="n"/>
      <c r="E15" s="14" t="n"/>
      <c r="F15" s="14" t="n"/>
    </row>
    <row r="17">
      <c r="B17" s="4" t="inlineStr">
        <is>
          <t>HANDOVER CHECKLIST</t>
        </is>
      </c>
      <c r="C17" s="4" t="n"/>
      <c r="D17" s="4" t="n"/>
      <c r="E17" s="4" t="n"/>
      <c r="F17" s="4" t="n"/>
    </row>
    <row r="18" ht="24" customHeight="1">
      <c r="B18" s="13" t="inlineStr">
        <is>
          <t>Item</t>
        </is>
      </c>
      <c r="C18" s="13" t="n"/>
      <c r="D18" s="13" t="n"/>
      <c r="E18" s="13" t="inlineStr">
        <is>
          <t>Status</t>
        </is>
      </c>
      <c r="F18" s="13" t="n"/>
    </row>
    <row r="19" ht="22" customHeight="1">
      <c r="B19" s="9" t="inlineStr">
        <is>
          <t>As-built drawings provided</t>
        </is>
      </c>
      <c r="C19" s="9" t="n"/>
      <c r="D19" s="9" t="n"/>
      <c r="E19" s="14" t="n"/>
      <c r="F19" s="14" t="n"/>
    </row>
    <row r="20" ht="22" customHeight="1">
      <c r="B20" s="9" t="inlineStr">
        <is>
          <t>O&amp;M manual provided</t>
        </is>
      </c>
      <c r="C20" s="9" t="n"/>
      <c r="D20" s="9" t="n"/>
      <c r="E20" s="14" t="n"/>
      <c r="F20" s="14" t="n"/>
    </row>
    <row r="21" ht="22" customHeight="1">
      <c r="B21" s="9" t="inlineStr">
        <is>
          <t>Warranty certificates provided</t>
        </is>
      </c>
      <c r="C21" s="9" t="n"/>
      <c r="D21" s="9" t="n"/>
      <c r="E21" s="14" t="n"/>
      <c r="F21" s="14" t="n"/>
    </row>
    <row r="22" ht="22" customHeight="1">
      <c r="B22" s="9" t="inlineStr">
        <is>
          <t>Spare parts list provided</t>
        </is>
      </c>
      <c r="C22" s="9" t="n"/>
      <c r="D22" s="9" t="n"/>
      <c r="E22" s="14" t="n"/>
      <c r="F22" s="14" t="n"/>
    </row>
    <row r="23" ht="22" customHeight="1">
      <c r="B23" s="9" t="inlineStr">
        <is>
          <t>O&amp;M training conducted</t>
        </is>
      </c>
      <c r="C23" s="9" t="n"/>
      <c r="D23" s="9" t="n"/>
      <c r="E23" s="14" t="n"/>
      <c r="F23" s="14" t="n"/>
    </row>
    <row r="24" ht="22" customHeight="1">
      <c r="B24" s="9" t="inlineStr">
        <is>
          <t>Monitoring portal access provided</t>
        </is>
      </c>
      <c r="C24" s="9" t="n"/>
      <c r="D24" s="9" t="n"/>
      <c r="E24" s="14" t="n"/>
      <c r="F24" s="14" t="n"/>
    </row>
    <row r="25" ht="22" customHeight="1">
      <c r="B25" s="9" t="inlineStr">
        <is>
          <t>Test certificates / thermal images attached</t>
        </is>
      </c>
      <c r="C25" s="9" t="n"/>
      <c r="D25" s="9" t="n"/>
      <c r="E25" s="14" t="n"/>
      <c r="F25" s="14" t="n"/>
    </row>
    <row r="27">
      <c r="B27" s="4" t="inlineStr">
        <is>
          <t>COMMENTS</t>
        </is>
      </c>
      <c r="C27" s="4" t="n"/>
      <c r="D27" s="4" t="n"/>
      <c r="E27" s="4" t="n"/>
      <c r="F27" s="4" t="n"/>
    </row>
    <row r="28">
      <c r="B28" s="30" t="n"/>
      <c r="C28" s="30" t="n"/>
      <c r="D28" s="30" t="n"/>
      <c r="E28" s="30" t="n"/>
      <c r="F28" s="30" t="n"/>
    </row>
    <row r="29">
      <c r="B29" s="30" t="n"/>
      <c r="C29" s="30" t="n"/>
      <c r="D29" s="30" t="n"/>
      <c r="E29" s="30" t="n"/>
      <c r="F29" s="30" t="n"/>
    </row>
    <row r="30">
      <c r="B30" s="30" t="n"/>
      <c r="C30" s="30" t="n"/>
      <c r="D30" s="30" t="n"/>
      <c r="E30" s="30" t="n"/>
      <c r="F30" s="30" t="n"/>
    </row>
    <row r="31">
      <c r="B31" s="30" t="n"/>
      <c r="C31" s="30" t="n"/>
      <c r="D31" s="30" t="n"/>
      <c r="E31" s="30" t="n"/>
      <c r="F31" s="30" t="n"/>
    </row>
    <row r="32">
      <c r="B32" s="30" t="n"/>
      <c r="C32" s="30" t="n"/>
      <c r="D32" s="30" t="n"/>
      <c r="E32" s="30" t="n"/>
      <c r="F32" s="30" t="n"/>
    </row>
  </sheetData>
  <mergeCells count="25">
    <mergeCell ref="B4:F4"/>
    <mergeCell ref="C6:D6"/>
    <mergeCell ref="B23:D23"/>
    <mergeCell ref="E24:F24"/>
    <mergeCell ref="E23:F23"/>
    <mergeCell ref="B27:F27"/>
    <mergeCell ref="B19:D19"/>
    <mergeCell ref="E20:F20"/>
    <mergeCell ref="E19:F19"/>
    <mergeCell ref="B17:F17"/>
    <mergeCell ref="B24:D24"/>
    <mergeCell ref="B20:D20"/>
    <mergeCell ref="B10:F10"/>
    <mergeCell ref="B25:D25"/>
    <mergeCell ref="C8:D8"/>
    <mergeCell ref="C7:D7"/>
    <mergeCell ref="B28:F32"/>
    <mergeCell ref="E25:F25"/>
    <mergeCell ref="B2:F3"/>
    <mergeCell ref="B22:D22"/>
    <mergeCell ref="B18:D18"/>
    <mergeCell ref="E22:F22"/>
    <mergeCell ref="B21:D21"/>
    <mergeCell ref="E18:F18"/>
    <mergeCell ref="E21:F21"/>
  </mergeCells>
  <conditionalFormatting sqref="C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"Incomplete"</formula>
    </cfRule>
    <cfRule type="cellIs" priority="4" operator="equal" dxfId="2">
      <formula>"IN PROGRESS"</formula>
    </cfRule>
    <cfRule type="cellIs" priority="5" operator="equal" dxfId="2">
      <formula>"INCOMPLETE"</formula>
    </cfRule>
    <cfRule type="cellIs" priority="6" operator="equal" dxfId="3">
      <formula>"N/A"</formula>
    </cfRule>
  </conditionalFormatting>
  <dataValidations count="1">
    <dataValidation sqref="E19:E25" showDropDown="0" showInputMessage="0" showErrorMessage="0" allowBlank="1" type="list">
      <formula1>"Yes,No,N/A"</formula1>
    </dataValidation>
  </dataValidations>
  <printOptions horizontalCentered="1"/>
  <pageMargins left="0.4" right="0.4" top="0.6" bottom="0.7" header="0.25" footer="0.3"/>
  <pageSetup orientation="portrait" paperSize="9" fitToHeight="1" fitToWidth="1"/>
  <headerFooter>
    <oddHeader>&amp;L&amp;8 Regen Renewables (Pvt) Ltd.  —  Solar PV Installation Commissioning Report&amp;R&amp;8 &amp;A   |   Page &amp;P of &amp;N</oddHeader>
    <oddFooter>&amp;C&amp;7 © Regen Renewables (Pvt) Ltd. All rights reserved. This document is confidential and the property of Regen Renewables (Pvt) Ltd. It must not be copied, shared or used without written permission.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2026-10-11T02:53:27Z</dcterms:created>
  <dcterms:modified xmlns:dcterms="http://purl.org/dc/terms/" xmlns:xsi="http://www.w3.org/2001/XMLSchema-instance" xsi:type="dcterms:W3CDTF">2026-10-11T02:53:27Z</dcterms:modified>
</cp:coreProperties>
</file>